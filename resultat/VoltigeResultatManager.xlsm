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voltige\SM2017 - try2\"/>
    </mc:Choice>
  </mc:AlternateContent>
  <bookViews>
    <workbookView xWindow="0" yWindow="0" windowWidth="23295" windowHeight="14235" tabRatio="940" activeTab="14"/>
  </bookViews>
  <sheets>
    <sheet name="ResultTemplate" sheetId="3" r:id="rId1"/>
    <sheet name="1" sheetId="21" r:id="rId2"/>
    <sheet name="2" sheetId="22" r:id="rId3"/>
    <sheet name="3" sheetId="23" r:id="rId4"/>
    <sheet name="4" sheetId="24" r:id="rId5"/>
    <sheet name="5" sheetId="25" r:id="rId6"/>
    <sheet name="6" sheetId="26" r:id="rId7"/>
    <sheet name="7" sheetId="27" r:id="rId8"/>
    <sheet name="8" sheetId="28" r:id="rId9"/>
    <sheet name="9" sheetId="29" r:id="rId10"/>
    <sheet name="10" sheetId="30" r:id="rId11"/>
    <sheet name="11" sheetId="31" r:id="rId12"/>
    <sheet name="12" sheetId="32" r:id="rId13"/>
    <sheet name="13" sheetId="33" r:id="rId14"/>
    <sheet name="Klasser" sheetId="19" r:id="rId15"/>
    <sheet name="Deltagare" sheetId="20" r:id="rId16"/>
  </sheets>
  <functionGroups builtInGroupCount="18"/>
  <definedNames>
    <definedName name="_xlnm._FilterDatabase" localSheetId="1" hidden="1">'1'!$A$7:$O$10</definedName>
    <definedName name="_xlnm._FilterDatabase" localSheetId="10" hidden="1">'10'!$A$7:$O$10</definedName>
    <definedName name="_xlnm._FilterDatabase" localSheetId="11" hidden="1">'11'!$A$7:$O$10</definedName>
    <definedName name="_xlnm._FilterDatabase" localSheetId="12" hidden="1">'12'!$A$7:$O$10</definedName>
    <definedName name="_xlnm._FilterDatabase" localSheetId="13" hidden="1">'13'!$A$7:$O$10</definedName>
    <definedName name="_xlnm._FilterDatabase" localSheetId="2" hidden="1">'2'!$A$7:$O$10</definedName>
    <definedName name="_xlnm._FilterDatabase" localSheetId="3" hidden="1">'3'!$A$7:$O$10</definedName>
    <definedName name="_xlnm._FilterDatabase" localSheetId="4" hidden="1">'4'!$A$7:$O$10</definedName>
    <definedName name="_xlnm._FilterDatabase" localSheetId="5" hidden="1">'5'!$A$7:$O$10</definedName>
    <definedName name="_xlnm._FilterDatabase" localSheetId="6" hidden="1">'6'!$A$7:$O$10</definedName>
    <definedName name="_xlnm._FilterDatabase" localSheetId="7" hidden="1">'7'!$A$7:$O$10</definedName>
    <definedName name="_xlnm._FilterDatabase" localSheetId="8" hidden="1">'8'!$A$7:$O$10</definedName>
    <definedName name="_xlnm._FilterDatabase" localSheetId="9" hidden="1">'9'!$A$7:$O$10</definedName>
    <definedName name="_xlnm._FilterDatabase" localSheetId="0" hidden="1">ResultTemplate!$A$7:$O$10</definedName>
    <definedName name="domare" localSheetId="1">'1'!$G$1</definedName>
    <definedName name="domare" localSheetId="10">'10'!$G$1</definedName>
    <definedName name="domare" localSheetId="11">'11'!$G$1</definedName>
    <definedName name="domare" localSheetId="12">'12'!$G$1</definedName>
    <definedName name="domare" localSheetId="13">'13'!$G$1</definedName>
    <definedName name="domare" localSheetId="2">'2'!$G$1</definedName>
    <definedName name="domare" localSheetId="3">'3'!$G$1</definedName>
    <definedName name="domare" localSheetId="4">'4'!$G$1</definedName>
    <definedName name="domare" localSheetId="5">'5'!$G$1</definedName>
    <definedName name="domare" localSheetId="6">'6'!$G$1</definedName>
    <definedName name="domare" localSheetId="7">'7'!$G$1</definedName>
    <definedName name="domare" localSheetId="8">'8'!$G$1</definedName>
    <definedName name="domare" localSheetId="9">'9'!$G$1</definedName>
    <definedName name="domare" localSheetId="0">ResultTemplate!$G$1</definedName>
    <definedName name="ekipage" localSheetId="1">'1'!$A$7:$O$10</definedName>
    <definedName name="ekipage" localSheetId="10">'10'!$A$7:$O$10</definedName>
    <definedName name="ekipage" localSheetId="11">'11'!$A$7:$O$10</definedName>
    <definedName name="ekipage" localSheetId="12">'12'!$A$7:$O$10</definedName>
    <definedName name="ekipage" localSheetId="13">'13'!$A$7:$O$10</definedName>
    <definedName name="ekipage" localSheetId="2">'2'!$A$7:$O$10</definedName>
    <definedName name="ekipage" localSheetId="3">'3'!$A$7:$O$10</definedName>
    <definedName name="ekipage" localSheetId="4">'4'!$A$7:$O$10</definedName>
    <definedName name="ekipage" localSheetId="5">'5'!$A$7:$O$10</definedName>
    <definedName name="ekipage" localSheetId="6">'6'!$A$7:$O$10</definedName>
    <definedName name="ekipage" localSheetId="7">'7'!$A$7:$O$10</definedName>
    <definedName name="ekipage" localSheetId="8">'8'!$A$7:$O$10</definedName>
    <definedName name="ekipage" localSheetId="9">'9'!$A$7:$O$10</definedName>
    <definedName name="ekipage" localSheetId="0">ResultTemplate!$A$7:$O$10</definedName>
    <definedName name="id_4_1_4_grund_2_a" localSheetId="4">'4'!$H$9</definedName>
    <definedName name="id_4_1_4_grund_2_b" localSheetId="4">'4'!$I$9</definedName>
    <definedName name="id_4_1_4_grund_2_c" localSheetId="4">'4'!$J$9</definedName>
    <definedName name="id_4_1_4_grund_2_d" localSheetId="4">'4'!$K$9</definedName>
    <definedName name="id_4_1_4_grund_a" localSheetId="4">'4'!$H$7</definedName>
    <definedName name="id_4_1_4_grund_b" localSheetId="4">'4'!$I$7</definedName>
    <definedName name="id_4_1_4_grund_c" localSheetId="4">'4'!$J$7</definedName>
    <definedName name="id_4_1_4_grund_d" localSheetId="4">'4'!$K$7</definedName>
    <definedName name="id_4_1_4_kür_2_a" localSheetId="4">'4'!$H$10</definedName>
    <definedName name="id_4_1_4_kür_2_b" localSheetId="4">'4'!$I$10</definedName>
    <definedName name="id_4_1_4_kür_2_c" localSheetId="4">'4'!$J$10</definedName>
    <definedName name="id_4_1_4_kür_2_d" localSheetId="4">'4'!$K$10</definedName>
    <definedName name="id_4_1_4_kür_a" localSheetId="4">'4'!$H$8</definedName>
    <definedName name="id_4_1_4_kür_b" localSheetId="4">'4'!$I$8</definedName>
    <definedName name="id_4_1_4_kür_c" localSheetId="4">'4'!$J$8</definedName>
    <definedName name="id_4_1_4_kür_d" localSheetId="4">'4'!$K$8</definedName>
    <definedName name="id_4_1018_4_grund_2_a" localSheetId="4">'4'!$H$13</definedName>
    <definedName name="id_4_1018_4_grund_2_b" localSheetId="4">'4'!$I$13</definedName>
    <definedName name="id_4_1018_4_grund_2_c" localSheetId="4">'4'!$J$13</definedName>
    <definedName name="id_4_1018_4_grund_2_d" localSheetId="4">'4'!$K$13</definedName>
    <definedName name="id_4_1018_4_grund_a" localSheetId="4">'4'!$H$11</definedName>
    <definedName name="id_4_1018_4_grund_b" localSheetId="4">'4'!$I$11</definedName>
    <definedName name="id_4_1018_4_grund_c" localSheetId="4">'4'!$J$11</definedName>
    <definedName name="id_4_1018_4_grund_d" localSheetId="4">'4'!$K$11</definedName>
    <definedName name="id_4_1018_4_kür_2_a" localSheetId="4">'4'!$H$14</definedName>
    <definedName name="id_4_1018_4_kür_2_b" localSheetId="4">'4'!$I$14</definedName>
    <definedName name="id_4_1018_4_kür_2_c" localSheetId="4">'4'!$J$14</definedName>
    <definedName name="id_4_1018_4_kür_2_d" localSheetId="4">'4'!$K$14</definedName>
    <definedName name="id_4_1018_4_kür_a" localSheetId="4">'4'!$H$12</definedName>
    <definedName name="id_4_1018_4_kür_b" localSheetId="4">'4'!$I$12</definedName>
    <definedName name="id_4_1018_4_kür_c" localSheetId="4">'4'!$J$12</definedName>
    <definedName name="id_4_1018_4_kür_d" localSheetId="4">'4'!$K$12</definedName>
    <definedName name="id_4_1021_4_grund_2_a" localSheetId="4">'4'!$H$17</definedName>
    <definedName name="id_4_1021_4_grund_2_b" localSheetId="4">'4'!$I$17</definedName>
    <definedName name="id_4_1021_4_grund_2_c" localSheetId="4">'4'!$J$17</definedName>
    <definedName name="id_4_1021_4_grund_2_d" localSheetId="4">'4'!$K$17</definedName>
    <definedName name="id_4_1021_4_grund_a" localSheetId="4">'4'!$H$15</definedName>
    <definedName name="id_4_1021_4_grund_b" localSheetId="4">'4'!$I$15</definedName>
    <definedName name="id_4_1021_4_grund_c" localSheetId="4">'4'!$J$15</definedName>
    <definedName name="id_4_1021_4_grund_d" localSheetId="4">'4'!$K$15</definedName>
    <definedName name="id_4_1021_4_kür_2_a" localSheetId="4">'4'!$H$18</definedName>
    <definedName name="id_4_1021_4_kür_2_b" localSheetId="4">'4'!$I$18</definedName>
    <definedName name="id_4_1021_4_kür_2_c" localSheetId="4">'4'!$J$18</definedName>
    <definedName name="id_4_1021_4_kür_2_d" localSheetId="4">'4'!$K$18</definedName>
    <definedName name="id_4_1021_4_kür_a" localSheetId="4">'4'!$H$16</definedName>
    <definedName name="id_4_1021_4_kür_b" localSheetId="4">'4'!$I$16</definedName>
    <definedName name="id_4_1021_4_kür_c" localSheetId="4">'4'!$J$16</definedName>
    <definedName name="id_4_1021_4_kür_d" localSheetId="4">'4'!$K$16</definedName>
    <definedName name="id_4_1026_4_grund_2_a" localSheetId="4">'4'!$H$21</definedName>
    <definedName name="id_4_1026_4_grund_2_b" localSheetId="4">'4'!$I$21</definedName>
    <definedName name="id_4_1026_4_grund_2_c" localSheetId="4">'4'!$J$21</definedName>
    <definedName name="id_4_1026_4_grund_2_d" localSheetId="4">'4'!$K$21</definedName>
    <definedName name="id_4_1026_4_grund_a" localSheetId="4">'4'!$H$19</definedName>
    <definedName name="id_4_1026_4_grund_b" localSheetId="4">'4'!$I$19</definedName>
    <definedName name="id_4_1026_4_grund_c" localSheetId="4">'4'!$J$19</definedName>
    <definedName name="id_4_1026_4_grund_d" localSheetId="4">'4'!$K$19</definedName>
    <definedName name="id_4_1026_4_kür_2_a" localSheetId="4">'4'!$H$22</definedName>
    <definedName name="id_4_1026_4_kür_2_b" localSheetId="4">'4'!$I$22</definedName>
    <definedName name="id_4_1026_4_kür_2_c" localSheetId="4">'4'!$J$22</definedName>
    <definedName name="id_4_1026_4_kür_2_d" localSheetId="4">'4'!$K$22</definedName>
    <definedName name="id_4_1026_4_kür_a" localSheetId="4">'4'!$H$20</definedName>
    <definedName name="id_4_1026_4_kür_b" localSheetId="4">'4'!$I$20</definedName>
    <definedName name="id_4_1026_4_kür_c" localSheetId="4">'4'!$J$20</definedName>
    <definedName name="id_4_1026_4_kür_d" localSheetId="4">'4'!$K$20</definedName>
    <definedName name="id_4_1032_4_grund_2_a" localSheetId="4">'4'!$H$29</definedName>
    <definedName name="id_4_1032_4_grund_2_b" localSheetId="4">'4'!$I$29</definedName>
    <definedName name="id_4_1032_4_grund_2_c" localSheetId="4">'4'!$J$29</definedName>
    <definedName name="id_4_1032_4_grund_2_d" localSheetId="4">'4'!$K$29</definedName>
    <definedName name="id_4_1032_4_grund_a" localSheetId="4">'4'!$H$27</definedName>
    <definedName name="id_4_1032_4_grund_b" localSheetId="4">'4'!$I$27</definedName>
    <definedName name="id_4_1032_4_grund_c" localSheetId="4">'4'!$J$27</definedName>
    <definedName name="id_4_1032_4_grund_d" localSheetId="4">'4'!$K$27</definedName>
    <definedName name="id_4_1032_4_kür_2_a" localSheetId="4">'4'!$H$30</definedName>
    <definedName name="id_4_1032_4_kür_2_b" localSheetId="4">'4'!$I$30</definedName>
    <definedName name="id_4_1032_4_kür_2_c" localSheetId="4">'4'!$J$30</definedName>
    <definedName name="id_4_1032_4_kür_2_d" localSheetId="4">'4'!$K$30</definedName>
    <definedName name="id_4_1032_4_kür_a" localSheetId="4">'4'!$H$28</definedName>
    <definedName name="id_4_1032_4_kür_b" localSheetId="4">'4'!$I$28</definedName>
    <definedName name="id_4_1032_4_kür_c" localSheetId="4">'4'!$J$28</definedName>
    <definedName name="id_4_1032_4_kür_d" localSheetId="4">'4'!$K$28</definedName>
    <definedName name="id_4_4_4_grund_2_a" localSheetId="4">'4'!$H$25</definedName>
    <definedName name="id_4_4_4_grund_2_b" localSheetId="4">'4'!$I$25</definedName>
    <definedName name="id_4_4_4_grund_2_c" localSheetId="4">'4'!$J$25</definedName>
    <definedName name="id_4_4_4_grund_2_d" localSheetId="4">'4'!$K$25</definedName>
    <definedName name="id_4_4_4_grund_a" localSheetId="4">'4'!$H$23</definedName>
    <definedName name="id_4_4_4_grund_b" localSheetId="4">'4'!$I$23</definedName>
    <definedName name="id_4_4_4_grund_c" localSheetId="4">'4'!$J$23</definedName>
    <definedName name="id_4_4_4_grund_d" localSheetId="4">'4'!$K$23</definedName>
    <definedName name="id_4_4_4_kür_2_a" localSheetId="4">'4'!$H$26</definedName>
    <definedName name="id_4_4_4_kür_2_b" localSheetId="4">'4'!$I$26</definedName>
    <definedName name="id_4_4_4_kür_2_c" localSheetId="4">'4'!$J$26</definedName>
    <definedName name="id_4_4_4_kür_2_d" localSheetId="4">'4'!$K$26</definedName>
    <definedName name="id_4_4_4_kür_a" localSheetId="4">'4'!$H$24</definedName>
    <definedName name="id_4_4_4_kür_b" localSheetId="4">'4'!$I$24</definedName>
    <definedName name="id_4_4_4_kür_c" localSheetId="4">'4'!$J$24</definedName>
    <definedName name="id_4_4_4_kür_d" localSheetId="4">'4'!$K$24</definedName>
    <definedName name="id_5_1019_5_grund_2_a" localSheetId="5">'5'!$H$9</definedName>
    <definedName name="id_5_1019_5_grund_2_b" localSheetId="5">'5'!$I$9</definedName>
    <definedName name="id_5_1019_5_grund_2_c" localSheetId="5">'5'!$J$9</definedName>
    <definedName name="id_5_1019_5_grund_2_d" localSheetId="5">'5'!$K$9</definedName>
    <definedName name="id_5_1019_5_grund_a" localSheetId="5">'5'!$H$7</definedName>
    <definedName name="id_5_1019_5_grund_b" localSheetId="5">'5'!$I$7</definedName>
    <definedName name="id_5_1019_5_grund_c" localSheetId="5">'5'!$J$7</definedName>
    <definedName name="id_5_1019_5_grund_d" localSheetId="5">'5'!$K$7</definedName>
    <definedName name="id_5_1019_5_kür_2_a" localSheetId="5">'5'!$H$10</definedName>
    <definedName name="id_5_1019_5_kür_2_b" localSheetId="5">'5'!$I$10</definedName>
    <definedName name="id_5_1019_5_kür_2_c" localSheetId="5">'5'!$J$10</definedName>
    <definedName name="id_5_1019_5_kür_2_d" localSheetId="5">'5'!$K$10</definedName>
    <definedName name="id_5_1019_5_kür_a" localSheetId="5">'5'!$H$8</definedName>
    <definedName name="id_5_1019_5_kür_b" localSheetId="5">'5'!$I$8</definedName>
    <definedName name="id_5_1019_5_kür_c" localSheetId="5">'5'!$J$8</definedName>
    <definedName name="id_5_1019_5_kür_d" localSheetId="5">'5'!$K$8</definedName>
    <definedName name="id_5_1020_5_grund_2_a" localSheetId="5">'5'!$H$13</definedName>
    <definedName name="id_5_1020_5_grund_2_b" localSheetId="5">'5'!$I$13</definedName>
    <definedName name="id_5_1020_5_grund_2_c" localSheetId="5">'5'!$J$13</definedName>
    <definedName name="id_5_1020_5_grund_2_d" localSheetId="5">'5'!$K$13</definedName>
    <definedName name="id_5_1020_5_grund_a" localSheetId="5">'5'!$H$11</definedName>
    <definedName name="id_5_1020_5_grund_b" localSheetId="5">'5'!$I$11</definedName>
    <definedName name="id_5_1020_5_grund_c" localSheetId="5">'5'!$J$11</definedName>
    <definedName name="id_5_1020_5_grund_d" localSheetId="5">'5'!$K$11</definedName>
    <definedName name="id_5_1020_5_kür_2_a" localSheetId="5">'5'!$H$14</definedName>
    <definedName name="id_5_1020_5_kür_2_b" localSheetId="5">'5'!$I$14</definedName>
    <definedName name="id_5_1020_5_kür_2_c" localSheetId="5">'5'!$J$14</definedName>
    <definedName name="id_5_1020_5_kür_2_d" localSheetId="5">'5'!$K$14</definedName>
    <definedName name="id_5_1020_5_kür_a" localSheetId="5">'5'!$H$12</definedName>
    <definedName name="id_5_1020_5_kür_b" localSheetId="5">'5'!$I$12</definedName>
    <definedName name="id_5_1020_5_kür_c" localSheetId="5">'5'!$J$12</definedName>
    <definedName name="id_5_1020_5_kür_d" localSheetId="5">'5'!$K$12</definedName>
    <definedName name="id_5_1022_5_grund_2_a" localSheetId="5">'5'!$H$17</definedName>
    <definedName name="id_5_1022_5_grund_2_b" localSheetId="5">'5'!$I$17</definedName>
    <definedName name="id_5_1022_5_grund_2_c" localSheetId="5">'5'!$J$17</definedName>
    <definedName name="id_5_1022_5_grund_2_d" localSheetId="5">'5'!$K$17</definedName>
    <definedName name="id_5_1022_5_grund_a" localSheetId="5">'5'!$H$15</definedName>
    <definedName name="id_5_1022_5_grund_b" localSheetId="5">'5'!$I$15</definedName>
    <definedName name="id_5_1022_5_grund_c" localSheetId="5">'5'!$J$15</definedName>
    <definedName name="id_5_1022_5_grund_d" localSheetId="5">'5'!$K$15</definedName>
    <definedName name="id_5_1022_5_kür_2_a" localSheetId="5">'5'!$H$18</definedName>
    <definedName name="id_5_1022_5_kür_2_b" localSheetId="5">'5'!$I$18</definedName>
    <definedName name="id_5_1022_5_kür_2_c" localSheetId="5">'5'!$J$18</definedName>
    <definedName name="id_5_1022_5_kür_2_d" localSheetId="5">'5'!$K$18</definedName>
    <definedName name="id_5_1022_5_kür_a" localSheetId="5">'5'!$H$16</definedName>
    <definedName name="id_5_1022_5_kür_b" localSheetId="5">'5'!$I$16</definedName>
    <definedName name="id_5_1022_5_kür_c" localSheetId="5">'5'!$J$16</definedName>
    <definedName name="id_5_1022_5_kür_d" localSheetId="5">'5'!$K$16</definedName>
    <definedName name="id_5_1023_5_grund_2_a" localSheetId="5">'5'!$H$21</definedName>
    <definedName name="id_5_1023_5_grund_2_b" localSheetId="5">'5'!$I$21</definedName>
    <definedName name="id_5_1023_5_grund_2_c" localSheetId="5">'5'!$J$21</definedName>
    <definedName name="id_5_1023_5_grund_2_d" localSheetId="5">'5'!$K$21</definedName>
    <definedName name="id_5_1023_5_grund_a" localSheetId="5">'5'!$H$19</definedName>
    <definedName name="id_5_1023_5_grund_b" localSheetId="5">'5'!$I$19</definedName>
    <definedName name="id_5_1023_5_grund_c" localSheetId="5">'5'!$J$19</definedName>
    <definedName name="id_5_1023_5_grund_d" localSheetId="5">'5'!$K$19</definedName>
    <definedName name="id_5_1023_5_kür_2_a" localSheetId="5">'5'!$H$22</definedName>
    <definedName name="id_5_1023_5_kür_2_b" localSheetId="5">'5'!$I$22</definedName>
    <definedName name="id_5_1023_5_kür_2_c" localSheetId="5">'5'!$J$22</definedName>
    <definedName name="id_5_1023_5_kür_2_d" localSheetId="5">'5'!$K$22</definedName>
    <definedName name="id_5_1023_5_kür_a" localSheetId="5">'5'!$H$20</definedName>
    <definedName name="id_5_1023_5_kür_b" localSheetId="5">'5'!$I$20</definedName>
    <definedName name="id_5_1023_5_kür_c" localSheetId="5">'5'!$J$20</definedName>
    <definedName name="id_5_1023_5_kür_d" localSheetId="5">'5'!$K$20</definedName>
    <definedName name="id_5_1024_5_grund_2_a" localSheetId="5">'5'!$H$25</definedName>
    <definedName name="id_5_1024_5_grund_2_b" localSheetId="5">'5'!$I$25</definedName>
    <definedName name="id_5_1024_5_grund_2_c" localSheetId="5">'5'!$J$25</definedName>
    <definedName name="id_5_1024_5_grund_2_d" localSheetId="5">'5'!$K$25</definedName>
    <definedName name="id_5_1024_5_grund_a" localSheetId="5">'5'!$H$23</definedName>
    <definedName name="id_5_1024_5_grund_b" localSheetId="5">'5'!$I$23</definedName>
    <definedName name="id_5_1024_5_grund_c" localSheetId="5">'5'!$J$23</definedName>
    <definedName name="id_5_1024_5_grund_d" localSheetId="5">'5'!$K$23</definedName>
    <definedName name="id_5_1024_5_kür_2_a" localSheetId="5">'5'!$H$26</definedName>
    <definedName name="id_5_1024_5_kür_2_b" localSheetId="5">'5'!$I$26</definedName>
    <definedName name="id_5_1024_5_kür_2_c" localSheetId="5">'5'!$J$26</definedName>
    <definedName name="id_5_1024_5_kür_2_d" localSheetId="5">'5'!$K$26</definedName>
    <definedName name="id_5_1024_5_kür_a" localSheetId="5">'5'!$H$24</definedName>
    <definedName name="id_5_1024_5_kür_b" localSheetId="5">'5'!$I$24</definedName>
    <definedName name="id_5_1024_5_kür_c" localSheetId="5">'5'!$J$24</definedName>
    <definedName name="id_5_1024_5_kür_d" localSheetId="5">'5'!$K$24</definedName>
    <definedName name="id_5_1025_5_grund_2_a" localSheetId="5">'5'!$H$29</definedName>
    <definedName name="id_5_1025_5_grund_2_b" localSheetId="5">'5'!$I$29</definedName>
    <definedName name="id_5_1025_5_grund_2_c" localSheetId="5">'5'!$J$29</definedName>
    <definedName name="id_5_1025_5_grund_2_d" localSheetId="5">'5'!$K$29</definedName>
    <definedName name="id_5_1025_5_grund_a" localSheetId="5">'5'!$H$27</definedName>
    <definedName name="id_5_1025_5_grund_b" localSheetId="5">'5'!$I$27</definedName>
    <definedName name="id_5_1025_5_grund_c" localSheetId="5">'5'!$J$27</definedName>
    <definedName name="id_5_1025_5_grund_d" localSheetId="5">'5'!$K$27</definedName>
    <definedName name="id_5_1025_5_kür_2_a" localSheetId="5">'5'!$H$30</definedName>
    <definedName name="id_5_1025_5_kür_2_b" localSheetId="5">'5'!$I$30</definedName>
    <definedName name="id_5_1025_5_kür_2_c" localSheetId="5">'5'!$J$30</definedName>
    <definedName name="id_5_1025_5_kür_2_d" localSheetId="5">'5'!$K$30</definedName>
    <definedName name="id_5_1025_5_kür_a" localSheetId="5">'5'!$H$28</definedName>
    <definedName name="id_5_1025_5_kür_b" localSheetId="5">'5'!$I$28</definedName>
    <definedName name="id_5_1025_5_kür_c" localSheetId="5">'5'!$J$28</definedName>
    <definedName name="id_5_1025_5_kür_d" localSheetId="5">'5'!$K$28</definedName>
    <definedName name="id_5_1027_5_grund_2_a" localSheetId="5">'5'!$H$33</definedName>
    <definedName name="id_5_1027_5_grund_2_b" localSheetId="5">'5'!$I$33</definedName>
    <definedName name="id_5_1027_5_grund_2_c" localSheetId="5">'5'!$J$33</definedName>
    <definedName name="id_5_1027_5_grund_2_d" localSheetId="5">'5'!$K$33</definedName>
    <definedName name="id_5_1027_5_grund_a" localSheetId="5">'5'!$H$31</definedName>
    <definedName name="id_5_1027_5_grund_b" localSheetId="5">'5'!$I$31</definedName>
    <definedName name="id_5_1027_5_grund_c" localSheetId="5">'5'!$J$31</definedName>
    <definedName name="id_5_1027_5_grund_d" localSheetId="5">'5'!$K$31</definedName>
    <definedName name="id_5_1027_5_kür_2_a" localSheetId="5">'5'!$H$34</definedName>
    <definedName name="id_5_1027_5_kür_2_b" localSheetId="5">'5'!$I$34</definedName>
    <definedName name="id_5_1027_5_kür_2_c" localSheetId="5">'5'!$J$34</definedName>
    <definedName name="id_5_1027_5_kür_2_d" localSheetId="5">'5'!$K$34</definedName>
    <definedName name="id_5_1027_5_kür_a" localSheetId="5">'5'!$H$32</definedName>
    <definedName name="id_5_1027_5_kür_b" localSheetId="5">'5'!$I$32</definedName>
    <definedName name="id_5_1027_5_kür_c" localSheetId="5">'5'!$J$32</definedName>
    <definedName name="id_5_1027_5_kür_d" localSheetId="5">'5'!$K$32</definedName>
    <definedName name="id_5_1030_5_grund_2_a" localSheetId="5">'5'!$H$37</definedName>
    <definedName name="id_5_1030_5_grund_2_b" localSheetId="5">'5'!$I$37</definedName>
    <definedName name="id_5_1030_5_grund_2_c" localSheetId="5">'5'!$J$37</definedName>
    <definedName name="id_5_1030_5_grund_2_d" localSheetId="5">'5'!$K$37</definedName>
    <definedName name="id_5_1030_5_grund_a" localSheetId="5">'5'!$H$35</definedName>
    <definedName name="id_5_1030_5_grund_b" localSheetId="5">'5'!$I$35</definedName>
    <definedName name="id_5_1030_5_grund_c" localSheetId="5">'5'!$J$35</definedName>
    <definedName name="id_5_1030_5_grund_d" localSheetId="5">'5'!$K$35</definedName>
    <definedName name="id_5_1030_5_kür_2_a" localSheetId="5">'5'!$H$38</definedName>
    <definedName name="id_5_1030_5_kür_2_b" localSheetId="5">'5'!$I$38</definedName>
    <definedName name="id_5_1030_5_kür_2_c" localSheetId="5">'5'!$J$38</definedName>
    <definedName name="id_5_1030_5_kür_2_d" localSheetId="5">'5'!$K$38</definedName>
    <definedName name="id_5_1030_5_kür_a" localSheetId="5">'5'!$H$36</definedName>
    <definedName name="id_5_1030_5_kür_b" localSheetId="5">'5'!$I$36</definedName>
    <definedName name="id_5_1030_5_kür_c" localSheetId="5">'5'!$J$36</definedName>
    <definedName name="id_5_1030_5_kür_d" localSheetId="5">'5'!$K$36</definedName>
    <definedName name="id_5_1031_5_grund_2_a" localSheetId="5">'5'!$H$41</definedName>
    <definedName name="id_5_1031_5_grund_2_b" localSheetId="5">'5'!$I$41</definedName>
    <definedName name="id_5_1031_5_grund_2_c" localSheetId="5">'5'!$J$41</definedName>
    <definedName name="id_5_1031_5_grund_2_d" localSheetId="5">'5'!$K$41</definedName>
    <definedName name="id_5_1031_5_grund_a" localSheetId="5">'5'!$H$39</definedName>
    <definedName name="id_5_1031_5_grund_b" localSheetId="5">'5'!$I$39</definedName>
    <definedName name="id_5_1031_5_grund_c" localSheetId="5">'5'!$J$39</definedName>
    <definedName name="id_5_1031_5_grund_d" localSheetId="5">'5'!$K$39</definedName>
    <definedName name="id_5_1031_5_kür_2_a" localSheetId="5">'5'!$H$42</definedName>
    <definedName name="id_5_1031_5_kür_2_b" localSheetId="5">'5'!$I$42</definedName>
    <definedName name="id_5_1031_5_kür_2_c" localSheetId="5">'5'!$J$42</definedName>
    <definedName name="id_5_1031_5_kür_2_d" localSheetId="5">'5'!$K$42</definedName>
    <definedName name="id_5_1031_5_kür_a" localSheetId="5">'5'!$H$40</definedName>
    <definedName name="id_5_1031_5_kür_b" localSheetId="5">'5'!$I$40</definedName>
    <definedName name="id_5_1031_5_kür_c" localSheetId="5">'5'!$J$40</definedName>
    <definedName name="id_5_1031_5_kür_d" localSheetId="5">'5'!$K$40</definedName>
    <definedName name="_xlnm.Print_Titles" localSheetId="1">'1'!$1:$6</definedName>
    <definedName name="_xlnm.Print_Titles" localSheetId="10">'10'!$1:$6</definedName>
    <definedName name="_xlnm.Print_Titles" localSheetId="11">'11'!$1:$6</definedName>
    <definedName name="_xlnm.Print_Titles" localSheetId="12">'12'!$1:$6</definedName>
    <definedName name="_xlnm.Print_Titles" localSheetId="13">'13'!$1:$6</definedName>
    <definedName name="_xlnm.Print_Titles" localSheetId="2">'2'!$1:$6</definedName>
    <definedName name="_xlnm.Print_Titles" localSheetId="3">'3'!$1:$6</definedName>
    <definedName name="_xlnm.Print_Titles" localSheetId="4">'4'!$1:$6</definedName>
    <definedName name="_xlnm.Print_Titles" localSheetId="5">'5'!$1:$6</definedName>
    <definedName name="_xlnm.Print_Titles" localSheetId="6">'6'!$1:$6</definedName>
    <definedName name="_xlnm.Print_Titles" localSheetId="7">'7'!$1:$6</definedName>
    <definedName name="_xlnm.Print_Titles" localSheetId="8">'8'!$1:$6</definedName>
    <definedName name="_xlnm.Print_Titles" localSheetId="9">'9'!$1:$6</definedName>
    <definedName name="_xlnm.Print_Titles" localSheetId="0">ResultTemplate!$1:$6</definedName>
    <definedName name="round1" localSheetId="1">'1'!$G$2</definedName>
    <definedName name="round1" localSheetId="10">'10'!$G$2</definedName>
    <definedName name="round1" localSheetId="11">'11'!$G$2</definedName>
    <definedName name="round1" localSheetId="12">'12'!$G$2</definedName>
    <definedName name="round1" localSheetId="13">'13'!$G$2</definedName>
    <definedName name="round1" localSheetId="2">'2'!$G$2</definedName>
    <definedName name="round1" localSheetId="3">'3'!$G$2</definedName>
    <definedName name="round1" localSheetId="4">'4'!$G$2</definedName>
    <definedName name="round1" localSheetId="5">'5'!$G$2</definedName>
    <definedName name="round1" localSheetId="6">'6'!$G$2</definedName>
    <definedName name="round1" localSheetId="7">'7'!$G$2</definedName>
    <definedName name="round1" localSheetId="8">'8'!$G$2</definedName>
    <definedName name="round1" localSheetId="9">'9'!$G$2</definedName>
    <definedName name="round1" localSheetId="0">ResultTemplate!$G$2</definedName>
    <definedName name="round2" localSheetId="1">'1'!$G$3</definedName>
    <definedName name="round2" localSheetId="10">'10'!$G$3</definedName>
    <definedName name="round2" localSheetId="11">'11'!$G$3</definedName>
    <definedName name="round2" localSheetId="12">'12'!$G$3</definedName>
    <definedName name="round2" localSheetId="13">'13'!$G$3</definedName>
    <definedName name="round2" localSheetId="2">'2'!$G$3</definedName>
    <definedName name="round2" localSheetId="3">'3'!$G$3</definedName>
    <definedName name="round2" localSheetId="4">'4'!$G$3</definedName>
    <definedName name="round2" localSheetId="5">'5'!$G$3</definedName>
    <definedName name="round2" localSheetId="6">'6'!$G$3</definedName>
    <definedName name="round2" localSheetId="7">'7'!$G$3</definedName>
    <definedName name="round2" localSheetId="8">'8'!$G$3</definedName>
    <definedName name="round2" localSheetId="9">'9'!$G$3</definedName>
    <definedName name="round2" localSheetId="0">ResultTemplate!$G$3</definedName>
    <definedName name="round3" localSheetId="1">'1'!$G$4</definedName>
    <definedName name="round3" localSheetId="10">'10'!$G$4</definedName>
    <definedName name="round3" localSheetId="11">'11'!$G$4</definedName>
    <definedName name="round3" localSheetId="12">'12'!$G$4</definedName>
    <definedName name="round3" localSheetId="13">'13'!$G$4</definedName>
    <definedName name="round3" localSheetId="2">'2'!$G$4</definedName>
    <definedName name="round3" localSheetId="3">'3'!$G$4</definedName>
    <definedName name="round3" localSheetId="4">'4'!$G$4</definedName>
    <definedName name="round3" localSheetId="5">'5'!$G$4</definedName>
    <definedName name="round3" localSheetId="6">'6'!$G$4</definedName>
    <definedName name="round3" localSheetId="7">'7'!$G$4</definedName>
    <definedName name="round3" localSheetId="8">'8'!$G$4</definedName>
    <definedName name="round3" localSheetId="9">'9'!$G$4</definedName>
    <definedName name="round3" localSheetId="0">ResultTemplate!$G$4</definedName>
    <definedName name="round4" localSheetId="1">'1'!$G$5</definedName>
    <definedName name="round4" localSheetId="10">'10'!$G$5</definedName>
    <definedName name="round4" localSheetId="11">'11'!$G$5</definedName>
    <definedName name="round4" localSheetId="12">'12'!$G$5</definedName>
    <definedName name="round4" localSheetId="13">'13'!$G$5</definedName>
    <definedName name="round4" localSheetId="2">'2'!$G$5</definedName>
    <definedName name="round4" localSheetId="3">'3'!$G$5</definedName>
    <definedName name="round4" localSheetId="4">'4'!$G$5</definedName>
    <definedName name="round4" localSheetId="5">'5'!$G$5</definedName>
    <definedName name="round4" localSheetId="6">'6'!$G$5</definedName>
    <definedName name="round4" localSheetId="7">'7'!$G$5</definedName>
    <definedName name="round4" localSheetId="8">'8'!$G$5</definedName>
    <definedName name="round4" localSheetId="9">'9'!$G$5</definedName>
    <definedName name="round4" localSheetId="0">ResultTemplate!$G$5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0" i="24" l="1"/>
  <c r="L30" i="24"/>
  <c r="G30" i="24"/>
  <c r="M29" i="24"/>
  <c r="L29" i="24"/>
  <c r="G29" i="24"/>
  <c r="M28" i="24"/>
  <c r="L28" i="24"/>
  <c r="G28" i="24"/>
  <c r="N27" i="24"/>
  <c r="M27" i="24"/>
  <c r="L27" i="24"/>
  <c r="O30" i="24" s="1"/>
  <c r="G27" i="24"/>
  <c r="M42" i="25"/>
  <c r="L42" i="25"/>
  <c r="G42" i="25"/>
  <c r="M41" i="25"/>
  <c r="L41" i="25"/>
  <c r="G41" i="25"/>
  <c r="M40" i="25"/>
  <c r="L40" i="25"/>
  <c r="G40" i="25"/>
  <c r="M39" i="25"/>
  <c r="N42" i="25" s="1"/>
  <c r="L39" i="25"/>
  <c r="G39" i="25"/>
  <c r="M38" i="25"/>
  <c r="L38" i="25"/>
  <c r="G38" i="25"/>
  <c r="M37" i="25"/>
  <c r="L37" i="25"/>
  <c r="G37" i="25"/>
  <c r="M36" i="25"/>
  <c r="L36" i="25"/>
  <c r="G36" i="25"/>
  <c r="M35" i="25"/>
  <c r="N38" i="25" s="1"/>
  <c r="L35" i="25"/>
  <c r="G35" i="25"/>
  <c r="M26" i="24"/>
  <c r="L26" i="24"/>
  <c r="G26" i="24"/>
  <c r="M25" i="24"/>
  <c r="L25" i="24"/>
  <c r="G25" i="24"/>
  <c r="M24" i="24"/>
  <c r="L24" i="24"/>
  <c r="G24" i="24"/>
  <c r="N23" i="24"/>
  <c r="M23" i="24"/>
  <c r="L23" i="24"/>
  <c r="G23" i="24"/>
  <c r="M34" i="25"/>
  <c r="L34" i="25"/>
  <c r="G34" i="25"/>
  <c r="M33" i="25"/>
  <c r="N31" i="25" s="1"/>
  <c r="L33" i="25"/>
  <c r="G33" i="25"/>
  <c r="M32" i="25"/>
  <c r="L32" i="25"/>
  <c r="G32" i="25"/>
  <c r="M31" i="25"/>
  <c r="L31" i="25"/>
  <c r="G31" i="25"/>
  <c r="M22" i="24"/>
  <c r="L22" i="24"/>
  <c r="G22" i="24"/>
  <c r="M21" i="24"/>
  <c r="L21" i="24"/>
  <c r="G21" i="24"/>
  <c r="M20" i="24"/>
  <c r="L20" i="24"/>
  <c r="G20" i="24"/>
  <c r="N19" i="24"/>
  <c r="M19" i="24"/>
  <c r="L19" i="24"/>
  <c r="G19" i="24"/>
  <c r="M30" i="25"/>
  <c r="L30" i="25"/>
  <c r="G30" i="25"/>
  <c r="M29" i="25"/>
  <c r="L29" i="25"/>
  <c r="G29" i="25"/>
  <c r="M28" i="25"/>
  <c r="L28" i="25"/>
  <c r="G28" i="25"/>
  <c r="M27" i="25"/>
  <c r="N30" i="25" s="1"/>
  <c r="L27" i="25"/>
  <c r="G27" i="25"/>
  <c r="M26" i="25"/>
  <c r="L26" i="25"/>
  <c r="G26" i="25"/>
  <c r="M25" i="25"/>
  <c r="L25" i="25"/>
  <c r="G25" i="25"/>
  <c r="M24" i="25"/>
  <c r="L24" i="25"/>
  <c r="G24" i="25"/>
  <c r="M23" i="25"/>
  <c r="N26" i="25" s="1"/>
  <c r="L23" i="25"/>
  <c r="G23" i="25"/>
  <c r="M22" i="25"/>
  <c r="L22" i="25"/>
  <c r="G22" i="25"/>
  <c r="M21" i="25"/>
  <c r="L21" i="25"/>
  <c r="G21" i="25"/>
  <c r="M20" i="25"/>
  <c r="L20" i="25"/>
  <c r="G20" i="25"/>
  <c r="M19" i="25"/>
  <c r="N22" i="25" s="1"/>
  <c r="L19" i="25"/>
  <c r="G19" i="25"/>
  <c r="M18" i="25"/>
  <c r="L18" i="25"/>
  <c r="G18" i="25"/>
  <c r="M17" i="25"/>
  <c r="L17" i="25"/>
  <c r="G17" i="25"/>
  <c r="M16" i="25"/>
  <c r="L16" i="25"/>
  <c r="G16" i="25"/>
  <c r="M15" i="25"/>
  <c r="N18" i="25" s="1"/>
  <c r="L15" i="25"/>
  <c r="G15" i="25"/>
  <c r="M18" i="24"/>
  <c r="L18" i="24"/>
  <c r="G18" i="24"/>
  <c r="M17" i="24"/>
  <c r="L17" i="24"/>
  <c r="G17" i="24"/>
  <c r="M16" i="24"/>
  <c r="L16" i="24"/>
  <c r="G16" i="24"/>
  <c r="N15" i="24"/>
  <c r="M15" i="24"/>
  <c r="L15" i="24"/>
  <c r="G15" i="24"/>
  <c r="M14" i="25"/>
  <c r="L14" i="25"/>
  <c r="G14" i="25"/>
  <c r="M13" i="25"/>
  <c r="N11" i="25" s="1"/>
  <c r="L13" i="25"/>
  <c r="G13" i="25"/>
  <c r="M12" i="25"/>
  <c r="L12" i="25"/>
  <c r="O14" i="25" s="1"/>
  <c r="G12" i="25"/>
  <c r="M11" i="25"/>
  <c r="L11" i="25"/>
  <c r="G11" i="25"/>
  <c r="M14" i="24"/>
  <c r="L14" i="24"/>
  <c r="G14" i="24"/>
  <c r="M13" i="24"/>
  <c r="L13" i="24"/>
  <c r="G13" i="24"/>
  <c r="M12" i="24"/>
  <c r="L12" i="24"/>
  <c r="O14" i="24" s="1"/>
  <c r="G12" i="24"/>
  <c r="N11" i="24"/>
  <c r="M11" i="24"/>
  <c r="L11" i="24"/>
  <c r="G11" i="24"/>
  <c r="O10" i="33"/>
  <c r="M10" i="33"/>
  <c r="L10" i="33"/>
  <c r="G10" i="33"/>
  <c r="O9" i="33"/>
  <c r="M9" i="33"/>
  <c r="L9" i="33"/>
  <c r="G9" i="33"/>
  <c r="O8" i="33"/>
  <c r="M8" i="33"/>
  <c r="L8" i="33"/>
  <c r="G8" i="33"/>
  <c r="O7" i="33"/>
  <c r="M7" i="33"/>
  <c r="N10" i="33" s="1"/>
  <c r="L7" i="33"/>
  <c r="G7" i="33"/>
  <c r="O10" i="32"/>
  <c r="M10" i="32"/>
  <c r="L10" i="32"/>
  <c r="G10" i="32"/>
  <c r="O9" i="32"/>
  <c r="M9" i="32"/>
  <c r="L9" i="32"/>
  <c r="G9" i="32"/>
  <c r="O8" i="32"/>
  <c r="M8" i="32"/>
  <c r="L8" i="32"/>
  <c r="G8" i="32"/>
  <c r="O7" i="32"/>
  <c r="M7" i="32"/>
  <c r="N10" i="32" s="1"/>
  <c r="L7" i="32"/>
  <c r="G7" i="32"/>
  <c r="M10" i="31"/>
  <c r="L10" i="31"/>
  <c r="G10" i="31"/>
  <c r="M9" i="31"/>
  <c r="L9" i="31"/>
  <c r="G9" i="31"/>
  <c r="M8" i="31"/>
  <c r="L8" i="31"/>
  <c r="G8" i="31"/>
  <c r="M7" i="31"/>
  <c r="N10" i="31" s="1"/>
  <c r="L7" i="31"/>
  <c r="O10" i="31" s="1"/>
  <c r="G7" i="31"/>
  <c r="M10" i="30"/>
  <c r="L10" i="30"/>
  <c r="G10" i="30"/>
  <c r="M9" i="30"/>
  <c r="L9" i="30"/>
  <c r="G9" i="30"/>
  <c r="M8" i="30"/>
  <c r="L8" i="30"/>
  <c r="G8" i="30"/>
  <c r="M7" i="30"/>
  <c r="N10" i="30" s="1"/>
  <c r="L7" i="30"/>
  <c r="O10" i="30" s="1"/>
  <c r="G7" i="30"/>
  <c r="M10" i="29"/>
  <c r="L10" i="29"/>
  <c r="G10" i="29"/>
  <c r="M9" i="29"/>
  <c r="L9" i="29"/>
  <c r="G9" i="29"/>
  <c r="M8" i="29"/>
  <c r="L8" i="29"/>
  <c r="G8" i="29"/>
  <c r="M7" i="29"/>
  <c r="N10" i="29" s="1"/>
  <c r="L7" i="29"/>
  <c r="O10" i="29" s="1"/>
  <c r="G7" i="29"/>
  <c r="M10" i="28"/>
  <c r="L10" i="28"/>
  <c r="G10" i="28"/>
  <c r="M9" i="28"/>
  <c r="L9" i="28"/>
  <c r="G9" i="28"/>
  <c r="M8" i="28"/>
  <c r="L8" i="28"/>
  <c r="G8" i="28"/>
  <c r="M7" i="28"/>
  <c r="L7" i="28"/>
  <c r="O10" i="28" s="1"/>
  <c r="G7" i="28"/>
  <c r="M10" i="27"/>
  <c r="L10" i="27"/>
  <c r="G10" i="27"/>
  <c r="M9" i="27"/>
  <c r="L9" i="27"/>
  <c r="G9" i="27"/>
  <c r="M8" i="27"/>
  <c r="L8" i="27"/>
  <c r="G8" i="27"/>
  <c r="M7" i="27"/>
  <c r="N10" i="27" s="1"/>
  <c r="L7" i="27"/>
  <c r="O10" i="27" s="1"/>
  <c r="G7" i="27"/>
  <c r="M10" i="26"/>
  <c r="L10" i="26"/>
  <c r="G10" i="26"/>
  <c r="M9" i="26"/>
  <c r="L9" i="26"/>
  <c r="G9" i="26"/>
  <c r="M8" i="26"/>
  <c r="L8" i="26"/>
  <c r="G8" i="26"/>
  <c r="M7" i="26"/>
  <c r="N10" i="26" s="1"/>
  <c r="L7" i="26"/>
  <c r="O10" i="26" s="1"/>
  <c r="G7" i="26"/>
  <c r="M10" i="25"/>
  <c r="L10" i="25"/>
  <c r="G10" i="25"/>
  <c r="M9" i="25"/>
  <c r="L9" i="25"/>
  <c r="G9" i="25"/>
  <c r="M8" i="25"/>
  <c r="L8" i="25"/>
  <c r="G8" i="25"/>
  <c r="M7" i="25"/>
  <c r="N10" i="25" s="1"/>
  <c r="L7" i="25"/>
  <c r="O10" i="25" s="1"/>
  <c r="G7" i="25"/>
  <c r="M10" i="24"/>
  <c r="L10" i="24"/>
  <c r="G10" i="24"/>
  <c r="M9" i="24"/>
  <c r="L9" i="24"/>
  <c r="G9" i="24"/>
  <c r="M8" i="24"/>
  <c r="L8" i="24"/>
  <c r="G8" i="24"/>
  <c r="O7" i="24"/>
  <c r="M7" i="24"/>
  <c r="N10" i="24" s="1"/>
  <c r="L7" i="24"/>
  <c r="O9" i="24" s="1"/>
  <c r="G7" i="24"/>
  <c r="M10" i="23"/>
  <c r="L10" i="23"/>
  <c r="G10" i="23"/>
  <c r="O9" i="23"/>
  <c r="M9" i="23"/>
  <c r="L9" i="23"/>
  <c r="G9" i="23"/>
  <c r="O8" i="23"/>
  <c r="M8" i="23"/>
  <c r="L8" i="23"/>
  <c r="G8" i="23"/>
  <c r="O7" i="23"/>
  <c r="M7" i="23"/>
  <c r="N10" i="23" s="1"/>
  <c r="L7" i="23"/>
  <c r="O10" i="23" s="1"/>
  <c r="G7" i="23"/>
  <c r="M10" i="22"/>
  <c r="L10" i="22"/>
  <c r="G10" i="22"/>
  <c r="M9" i="22"/>
  <c r="L9" i="22"/>
  <c r="G9" i="22"/>
  <c r="M8" i="22"/>
  <c r="L8" i="22"/>
  <c r="G8" i="22"/>
  <c r="O7" i="22"/>
  <c r="M7" i="22"/>
  <c r="N10" i="22" s="1"/>
  <c r="L7" i="22"/>
  <c r="O10" i="22" s="1"/>
  <c r="G7" i="22"/>
  <c r="M10" i="21"/>
  <c r="L10" i="21"/>
  <c r="G10" i="21"/>
  <c r="M9" i="21"/>
  <c r="L9" i="21"/>
  <c r="G9" i="21"/>
  <c r="M8" i="21"/>
  <c r="L8" i="21"/>
  <c r="G8" i="21"/>
  <c r="M7" i="21"/>
  <c r="N10" i="21" s="1"/>
  <c r="L7" i="21"/>
  <c r="O10" i="21" s="1"/>
  <c r="G7" i="21"/>
  <c r="O7" i="31" l="1"/>
  <c r="O8" i="31"/>
  <c r="O9" i="31"/>
  <c r="O7" i="30"/>
  <c r="O8" i="30"/>
  <c r="O9" i="30"/>
  <c r="O7" i="29"/>
  <c r="O8" i="29"/>
  <c r="O9" i="29"/>
  <c r="N10" i="28"/>
  <c r="O7" i="28"/>
  <c r="O8" i="28"/>
  <c r="O9" i="28"/>
  <c r="O7" i="27"/>
  <c r="O8" i="27"/>
  <c r="O9" i="27"/>
  <c r="O7" i="26"/>
  <c r="O8" i="26"/>
  <c r="O9" i="26"/>
  <c r="O18" i="25"/>
  <c r="N19" i="25"/>
  <c r="O26" i="25"/>
  <c r="N27" i="25"/>
  <c r="O38" i="25"/>
  <c r="N39" i="25"/>
  <c r="N17" i="25"/>
  <c r="N25" i="25"/>
  <c r="O34" i="25"/>
  <c r="N37" i="25"/>
  <c r="O7" i="25"/>
  <c r="O8" i="25"/>
  <c r="O9" i="25"/>
  <c r="N14" i="25"/>
  <c r="N13" i="25"/>
  <c r="N15" i="25"/>
  <c r="O22" i="25"/>
  <c r="N23" i="25"/>
  <c r="O30" i="25"/>
  <c r="N34" i="25"/>
  <c r="N33" i="25"/>
  <c r="N35" i="25"/>
  <c r="O42" i="25"/>
  <c r="O40" i="25"/>
  <c r="N21" i="25"/>
  <c r="N29" i="25"/>
  <c r="N41" i="25"/>
  <c r="N14" i="24"/>
  <c r="N13" i="24"/>
  <c r="N18" i="24"/>
  <c r="N17" i="24"/>
  <c r="N30" i="24"/>
  <c r="N29" i="24"/>
  <c r="O8" i="24"/>
  <c r="O10" i="24"/>
  <c r="O22" i="24"/>
  <c r="O26" i="24"/>
  <c r="N22" i="24"/>
  <c r="N21" i="24"/>
  <c r="N26" i="24"/>
  <c r="N25" i="24"/>
  <c r="O18" i="24"/>
  <c r="O8" i="22"/>
  <c r="O9" i="22"/>
  <c r="O7" i="21"/>
  <c r="O8" i="21"/>
  <c r="O9" i="21"/>
  <c r="O11" i="24"/>
  <c r="O13" i="24"/>
  <c r="O11" i="25"/>
  <c r="O13" i="25"/>
  <c r="O15" i="24"/>
  <c r="O17" i="24"/>
  <c r="O15" i="25"/>
  <c r="A15" i="25" s="1"/>
  <c r="O17" i="25"/>
  <c r="O19" i="25"/>
  <c r="O21" i="25"/>
  <c r="O23" i="25"/>
  <c r="O25" i="25"/>
  <c r="O27" i="25"/>
  <c r="O29" i="25"/>
  <c r="O19" i="24"/>
  <c r="O21" i="24"/>
  <c r="O31" i="25"/>
  <c r="O33" i="25"/>
  <c r="O23" i="24"/>
  <c r="O25" i="24"/>
  <c r="O35" i="25"/>
  <c r="O37" i="25"/>
  <c r="O39" i="25"/>
  <c r="O41" i="25"/>
  <c r="O27" i="24"/>
  <c r="A27" i="24" s="1"/>
  <c r="O29" i="24"/>
  <c r="N12" i="24"/>
  <c r="N12" i="25"/>
  <c r="N16" i="24"/>
  <c r="N16" i="25"/>
  <c r="N20" i="25"/>
  <c r="N24" i="25"/>
  <c r="A24" i="25" s="1"/>
  <c r="N28" i="25"/>
  <c r="N20" i="24"/>
  <c r="N32" i="25"/>
  <c r="N24" i="24"/>
  <c r="N36" i="25"/>
  <c r="N40" i="25"/>
  <c r="N28" i="24"/>
  <c r="O12" i="24"/>
  <c r="O12" i="25"/>
  <c r="O16" i="24"/>
  <c r="O16" i="25"/>
  <c r="O20" i="25"/>
  <c r="O24" i="25"/>
  <c r="O28" i="25"/>
  <c r="O20" i="24"/>
  <c r="O32" i="25"/>
  <c r="O24" i="24"/>
  <c r="O36" i="25"/>
  <c r="O28" i="24"/>
  <c r="N7" i="21"/>
  <c r="N9" i="21"/>
  <c r="N7" i="22"/>
  <c r="N9" i="22"/>
  <c r="N7" i="23"/>
  <c r="N9" i="23"/>
  <c r="N7" i="24"/>
  <c r="N9" i="24"/>
  <c r="N7" i="25"/>
  <c r="N9" i="25"/>
  <c r="N7" i="26"/>
  <c r="N9" i="26"/>
  <c r="N7" i="27"/>
  <c r="A10" i="27" s="1"/>
  <c r="N9" i="27"/>
  <c r="N7" i="28"/>
  <c r="N9" i="28"/>
  <c r="N7" i="29"/>
  <c r="N9" i="29"/>
  <c r="N7" i="30"/>
  <c r="N9" i="30"/>
  <c r="N7" i="31"/>
  <c r="N9" i="31"/>
  <c r="N7" i="32"/>
  <c r="N9" i="32"/>
  <c r="N7" i="33"/>
  <c r="A10" i="33" s="1"/>
  <c r="N9" i="33"/>
  <c r="N8" i="21"/>
  <c r="A8" i="21" s="1"/>
  <c r="N8" i="22"/>
  <c r="A8" i="22" s="1"/>
  <c r="N8" i="23"/>
  <c r="A8" i="23" s="1"/>
  <c r="N8" i="24"/>
  <c r="N8" i="25"/>
  <c r="N8" i="26"/>
  <c r="A8" i="26" s="1"/>
  <c r="N8" i="27"/>
  <c r="N8" i="28"/>
  <c r="A8" i="28" s="1"/>
  <c r="N8" i="29"/>
  <c r="A8" i="29" s="1"/>
  <c r="N8" i="30"/>
  <c r="A8" i="30" s="1"/>
  <c r="N8" i="31"/>
  <c r="A8" i="31" s="1"/>
  <c r="N8" i="32"/>
  <c r="A8" i="32" s="1"/>
  <c r="N8" i="33"/>
  <c r="A8" i="33" s="1"/>
  <c r="M8" i="3"/>
  <c r="M9" i="3"/>
  <c r="M10" i="3"/>
  <c r="M7" i="3"/>
  <c r="A8" i="27" l="1"/>
  <c r="A24" i="24"/>
  <c r="A30" i="24"/>
  <c r="A12" i="25"/>
  <c r="A25" i="24"/>
  <c r="A25" i="25"/>
  <c r="A17" i="25"/>
  <c r="A13" i="25"/>
  <c r="A19" i="24"/>
  <c r="A42" i="25"/>
  <c r="A14" i="25"/>
  <c r="A41" i="25"/>
  <c r="A21" i="24"/>
  <c r="A28" i="24"/>
  <c r="A32" i="25"/>
  <c r="A20" i="25"/>
  <c r="A12" i="24"/>
  <c r="A39" i="25"/>
  <c r="A23" i="24"/>
  <c r="A23" i="25"/>
  <c r="A11" i="25"/>
  <c r="A26" i="24"/>
  <c r="A38" i="25"/>
  <c r="A8" i="25"/>
  <c r="A16" i="25"/>
  <c r="A29" i="24"/>
  <c r="A37" i="25"/>
  <c r="A33" i="25"/>
  <c r="A29" i="25"/>
  <c r="A21" i="25"/>
  <c r="A17" i="24"/>
  <c r="A13" i="24"/>
  <c r="A18" i="25"/>
  <c r="A22" i="24"/>
  <c r="A34" i="25"/>
  <c r="A30" i="25"/>
  <c r="A40" i="25"/>
  <c r="A20" i="24"/>
  <c r="A8" i="24"/>
  <c r="A36" i="25"/>
  <c r="A28" i="25"/>
  <c r="A16" i="24"/>
  <c r="A35" i="25"/>
  <c r="A31" i="25"/>
  <c r="A27" i="25"/>
  <c r="A19" i="25"/>
  <c r="A15" i="24"/>
  <c r="A11" i="24"/>
  <c r="A14" i="24"/>
  <c r="A26" i="25"/>
  <c r="A22" i="25"/>
  <c r="A18" i="24"/>
  <c r="A7" i="32"/>
  <c r="A7" i="30"/>
  <c r="A7" i="28"/>
  <c r="A7" i="26"/>
  <c r="A7" i="24"/>
  <c r="A7" i="22"/>
  <c r="A10" i="22"/>
  <c r="A10" i="28"/>
  <c r="A9" i="33"/>
  <c r="A9" i="31"/>
  <c r="A9" i="29"/>
  <c r="A9" i="27"/>
  <c r="A9" i="25"/>
  <c r="A9" i="23"/>
  <c r="A9" i="21"/>
  <c r="A10" i="30"/>
  <c r="A10" i="26"/>
  <c r="A7" i="33"/>
  <c r="A7" i="31"/>
  <c r="A7" i="29"/>
  <c r="A7" i="27"/>
  <c r="A7" i="25"/>
  <c r="A7" i="23"/>
  <c r="A7" i="21"/>
  <c r="A10" i="29"/>
  <c r="A10" i="25"/>
  <c r="A10" i="23"/>
  <c r="A9" i="32"/>
  <c r="A9" i="30"/>
  <c r="A9" i="28"/>
  <c r="A9" i="26"/>
  <c r="A9" i="24"/>
  <c r="A9" i="22"/>
  <c r="A10" i="31"/>
  <c r="A10" i="24"/>
  <c r="A10" i="32"/>
  <c r="A10" i="21"/>
  <c r="N9" i="3"/>
  <c r="N10" i="3"/>
  <c r="N7" i="3"/>
  <c r="N8" i="3"/>
  <c r="G10" i="3"/>
  <c r="L10" i="3"/>
  <c r="L9" i="3"/>
  <c r="L8" i="3"/>
  <c r="L7" i="3"/>
  <c r="G9" i="3" l="1"/>
  <c r="G8" i="3"/>
  <c r="G7" i="3"/>
  <c r="O10" i="3" l="1"/>
  <c r="O7" i="3" l="1"/>
  <c r="A7" i="3" l="1"/>
  <c r="O8" i="3"/>
  <c r="O9" i="3"/>
  <c r="A9" i="3" s="1"/>
  <c r="A8" i="3" l="1"/>
  <c r="A10" i="3"/>
</calcChain>
</file>

<file path=xl/sharedStrings.xml><?xml version="1.0" encoding="utf-8"?>
<sst xmlns="http://schemas.openxmlformats.org/spreadsheetml/2006/main" count="653" uniqueCount="98">
  <si>
    <t>Poäng A</t>
  </si>
  <si>
    <t>Poäng B</t>
  </si>
  <si>
    <t>Poäng C</t>
  </si>
  <si>
    <t>Poäng D</t>
  </si>
  <si>
    <t>Resultat</t>
  </si>
  <si>
    <t>Plats</t>
  </si>
  <si>
    <t>Klubb</t>
  </si>
  <si>
    <t>Häst</t>
  </si>
  <si>
    <t>Linförare</t>
  </si>
  <si>
    <t>moment</t>
  </si>
  <si>
    <t>Voltigör</t>
  </si>
  <si>
    <t>Antal domare</t>
  </si>
  <si>
    <t>A1</t>
  </si>
  <si>
    <t>A3</t>
  </si>
  <si>
    <t>A4</t>
  </si>
  <si>
    <t>A2</t>
  </si>
  <si>
    <t>Klass</t>
  </si>
  <si>
    <t>Namn</t>
  </si>
  <si>
    <t>Moment1</t>
  </si>
  <si>
    <t>Moment2</t>
  </si>
  <si>
    <t>Moment3</t>
  </si>
  <si>
    <t>Moment4</t>
  </si>
  <si>
    <t>Moment1 (A,B,C,D)</t>
  </si>
  <si>
    <t>Moment2 (A,B,C,D)</t>
  </si>
  <si>
    <t>Moment3 (A,B,C,D)</t>
  </si>
  <si>
    <t>Moment4 (A,B,C,D)</t>
  </si>
  <si>
    <t>Svår klass seniorlag</t>
  </si>
  <si>
    <t>Grund</t>
  </si>
  <si>
    <t>Kür 1</t>
  </si>
  <si>
    <t>Kür 2</t>
  </si>
  <si>
    <t>Häst,Grund,Grund,Grund</t>
  </si>
  <si>
    <t>Häst,Tekniskt,Artistiskt,Teknisk</t>
  </si>
  <si>
    <t>Svår klass juniorlag</t>
  </si>
  <si>
    <t>Individuella seniorer</t>
  </si>
  <si>
    <t>Kür</t>
  </si>
  <si>
    <t>Tekn kür</t>
  </si>
  <si>
    <t>Individuella juniorer</t>
  </si>
  <si>
    <t>Individuella miniorer</t>
  </si>
  <si>
    <t>Pas de deux</t>
  </si>
  <si>
    <t>svår klass seniorlag (nationell)</t>
  </si>
  <si>
    <t>Svår klass juniorlag (nationell)</t>
  </si>
  <si>
    <t>Individuella seniorer (nationell)</t>
  </si>
  <si>
    <t>Individuella juniorer (nationell)</t>
  </si>
  <si>
    <t>Individuella miniorer (nationell)</t>
  </si>
  <si>
    <t>Pas de Deux (nationell)</t>
  </si>
  <si>
    <t>Mellan klass lag (nationell)</t>
  </si>
  <si>
    <t>Voltigör/Lag</t>
  </si>
  <si>
    <t>Johanna Lindberg</t>
  </si>
  <si>
    <t>Linda Jenvall</t>
  </si>
  <si>
    <t>Umeå Ryttarförening</t>
  </si>
  <si>
    <t>Crescendo</t>
  </si>
  <si>
    <t>id_4_1</t>
  </si>
  <si>
    <t>Regina Holm</t>
  </si>
  <si>
    <t>Inger Lindberg</t>
  </si>
  <si>
    <t>Dijon Qvist</t>
  </si>
  <si>
    <t>id_4_1018</t>
  </si>
  <si>
    <t>Amanda Schyman</t>
  </si>
  <si>
    <t>id_5_1019</t>
  </si>
  <si>
    <t>Amalia Glimmerhav</t>
  </si>
  <si>
    <t>id_5_1020</t>
  </si>
  <si>
    <t>Emmy Nilsson</t>
  </si>
  <si>
    <t>Kristin Jonsson</t>
  </si>
  <si>
    <t>Raphaella</t>
  </si>
  <si>
    <t>id_4_1021</t>
  </si>
  <si>
    <t>Nora Müller</t>
  </si>
  <si>
    <t>Marie-Louise Westerlund</t>
  </si>
  <si>
    <t>Francios</t>
  </si>
  <si>
    <t>id_5_1022</t>
  </si>
  <si>
    <t>Tuva Westerlund</t>
  </si>
  <si>
    <t>id_5_1023</t>
  </si>
  <si>
    <t>Yrsa Karlström</t>
  </si>
  <si>
    <t>id_5_1024</t>
  </si>
  <si>
    <t>Alva Eriksson</t>
  </si>
  <si>
    <t>Ronja Persson</t>
  </si>
  <si>
    <t>Dickens Hardsyssel</t>
  </si>
  <si>
    <t>id_5_1025</t>
  </si>
  <si>
    <t>Ella-Filippa Velander</t>
  </si>
  <si>
    <t>id_4_1026</t>
  </si>
  <si>
    <t>Anna Bergström</t>
  </si>
  <si>
    <t>Christine Müller</t>
  </si>
  <si>
    <t>Caramba</t>
  </si>
  <si>
    <t>id_5_1027</t>
  </si>
  <si>
    <t>Lina Sandberg Müller</t>
  </si>
  <si>
    <t>Uppsala</t>
  </si>
  <si>
    <t>id_4_4</t>
  </si>
  <si>
    <t>Clara Jonasson</t>
  </si>
  <si>
    <t>Kim Pramgård</t>
  </si>
  <si>
    <t>Lövestykkes Latano</t>
  </si>
  <si>
    <t>id_5_1030</t>
  </si>
  <si>
    <t>Hannah Melin</t>
  </si>
  <si>
    <t>id_5_1031</t>
  </si>
  <si>
    <t>Livia Bell</t>
  </si>
  <si>
    <t>id_4_1032</t>
  </si>
  <si>
    <t>Tekniskt</t>
  </si>
  <si>
    <t>Artistiskt</t>
  </si>
  <si>
    <t>Teknisk</t>
  </si>
  <si>
    <t>Grund 2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</si>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</sst>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;;;@"/>
    <numFmt numFmtId="166" formatCode=";;;"/>
  </numFmts>
  <fonts count="3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5"/>
      <color rgb="FF333333"/>
      <name val="Arial"/>
      <family val="2"/>
    </font>
    <font>
      <sz val="5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80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0" fillId="2" borderId="3" xfId="0" applyFill="1" applyBorder="1"/>
    <xf numFmtId="0" fontId="0" fillId="2" borderId="4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left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164" fontId="0" fillId="0" borderId="10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0" fontId="0" fillId="2" borderId="2" xfId="0" applyFill="1" applyBorder="1"/>
    <xf numFmtId="0" fontId="0" fillId="0" borderId="0" xfId="0" applyBorder="1"/>
    <xf numFmtId="0" fontId="0" fillId="0" borderId="0" xfId="0" applyBorder="1" applyAlignment="1">
      <alignment horizontal="left"/>
    </xf>
    <xf numFmtId="166" fontId="0" fillId="0" borderId="12" xfId="0" applyNumberFormat="1" applyBorder="1" applyAlignment="1" applyProtection="1">
      <alignment horizontal="center"/>
    </xf>
    <xf numFmtId="166" fontId="0" fillId="0" borderId="13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166" fontId="0" fillId="0" borderId="21" xfId="0" applyNumberFormat="1" applyBorder="1" applyAlignment="1">
      <alignment horizontal="center" vertical="center"/>
    </xf>
    <xf numFmtId="166" fontId="0" fillId="0" borderId="22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0" fontId="0" fillId="0" borderId="1" xfId="0" applyBorder="1" applyAlignment="1"/>
    <xf numFmtId="0" fontId="0" fillId="0" borderId="10" xfId="0" applyBorder="1" applyAlignment="1"/>
    <xf numFmtId="165" fontId="0" fillId="0" borderId="10" xfId="0" applyNumberFormat="1" applyBorder="1" applyAlignment="1">
      <alignment horizontal="center" vertical="center"/>
    </xf>
    <xf numFmtId="0" fontId="0" fillId="0" borderId="6" xfId="0" applyBorder="1" applyAlignment="1"/>
    <xf numFmtId="165" fontId="0" fillId="0" borderId="6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3" xfId="0" applyBorder="1"/>
    <xf numFmtId="0" fontId="0" fillId="0" borderId="23" xfId="0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18" xfId="0" applyBorder="1"/>
    <xf numFmtId="0" fontId="0" fillId="2" borderId="9" xfId="0" applyFill="1" applyBorder="1"/>
    <xf numFmtId="0" fontId="0" fillId="2" borderId="23" xfId="0" applyFill="1" applyBorder="1"/>
    <xf numFmtId="0" fontId="0" fillId="2" borderId="23" xfId="0" applyFill="1" applyBorder="1" applyAlignment="1">
      <alignment horizontal="left"/>
    </xf>
    <xf numFmtId="0" fontId="0" fillId="2" borderId="5" xfId="0" applyFill="1" applyBorder="1" applyAlignment="1">
      <alignment horizontal="center"/>
    </xf>
    <xf numFmtId="0" fontId="0" fillId="2" borderId="16" xfId="0" applyFill="1" applyBorder="1"/>
    <xf numFmtId="0" fontId="0" fillId="2" borderId="10" xfId="0" applyFill="1" applyBorder="1"/>
    <xf numFmtId="0" fontId="0" fillId="2" borderId="5" xfId="0" applyFill="1" applyBorder="1" applyAlignment="1">
      <alignment horizontal="center" vertical="center" wrapText="1"/>
    </xf>
    <xf numFmtId="0" fontId="0" fillId="2" borderId="26" xfId="0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2" borderId="27" xfId="0" applyFill="1" applyBorder="1" applyAlignment="1">
      <alignment horizontal="center" vertical="center"/>
    </xf>
    <xf numFmtId="0" fontId="0" fillId="2" borderId="19" xfId="0" applyFill="1" applyBorder="1" applyAlignment="1">
      <alignment horizontal="left" vertical="center"/>
    </xf>
    <xf numFmtId="0" fontId="0" fillId="2" borderId="28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0" borderId="23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0" fontId="0" fillId="0" borderId="21" xfId="0" applyNumberFormat="1" applyBorder="1" applyAlignment="1">
      <alignment horizontal="center" vertical="center"/>
    </xf>
    <xf numFmtId="0" fontId="0" fillId="2" borderId="15" xfId="0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29" xfId="0" applyFill="1" applyBorder="1" applyAlignment="1">
      <alignment horizontal="left" vertical="center"/>
    </xf>
    <xf numFmtId="0" fontId="0" fillId="0" borderId="24" xfId="0" applyFill="1" applyBorder="1" applyAlignment="1">
      <alignment horizontal="left" vertical="center"/>
    </xf>
    <xf numFmtId="0" fontId="0" fillId="0" borderId="24" xfId="0" applyFill="1" applyBorder="1" applyAlignment="1">
      <alignment horizontal="left"/>
    </xf>
    <xf numFmtId="0" fontId="0" fillId="0" borderId="24" xfId="0" applyFill="1" applyBorder="1" applyAlignment="1">
      <alignment horizontal="center"/>
    </xf>
    <xf numFmtId="0" fontId="0" fillId="0" borderId="24" xfId="0" applyFill="1" applyBorder="1" applyAlignment="1">
      <alignment vertical="center"/>
    </xf>
    <xf numFmtId="0" fontId="0" fillId="0" borderId="24" xfId="0" applyFill="1" applyBorder="1"/>
    <xf numFmtId="0" fontId="0" fillId="0" borderId="24" xfId="0" applyFill="1" applyBorder="1" applyAlignment="1">
      <alignment vertical="center" wrapText="1"/>
    </xf>
    <xf numFmtId="0" fontId="0" fillId="0" borderId="14" xfId="0" applyFill="1" applyBorder="1" applyAlignment="1">
      <alignment vertical="center"/>
    </xf>
    <xf numFmtId="0" fontId="0" fillId="2" borderId="30" xfId="0" applyFill="1" applyBorder="1" applyAlignment="1">
      <alignment horizontal="left" vertical="center"/>
    </xf>
    <xf numFmtId="0" fontId="0" fillId="2" borderId="31" xfId="0" applyFill="1" applyBorder="1" applyAlignment="1">
      <alignment horizontal="left" vertical="center"/>
    </xf>
    <xf numFmtId="0" fontId="0" fillId="2" borderId="31" xfId="0" applyFill="1" applyBorder="1" applyAlignment="1">
      <alignment horizontal="left"/>
    </xf>
    <xf numFmtId="0" fontId="0" fillId="2" borderId="31" xfId="0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0" fontId="0" fillId="2" borderId="6" xfId="0" applyFill="1" applyBorder="1"/>
    <xf numFmtId="0" fontId="0" fillId="2" borderId="31" xfId="0" applyFill="1" applyBorder="1" applyAlignment="1">
      <alignment vertical="center" wrapText="1"/>
    </xf>
    <xf numFmtId="0" fontId="0" fillId="2" borderId="32" xfId="0" applyFill="1" applyBorder="1" applyAlignment="1">
      <alignment vertical="center" wrapText="1"/>
    </xf>
    <xf numFmtId="0" fontId="0" fillId="2" borderId="33" xfId="0" applyFill="1" applyBorder="1" applyAlignment="1">
      <alignment vertical="center"/>
    </xf>
    <xf numFmtId="0" fontId="35" fillId="3" borderId="0" xfId="42" applyFont="1" applyFill="1" applyAlignment="1">
      <alignment horizontal="left" vertical="top" wrapText="1"/>
    </xf>
    <xf numFmtId="0" fontId="1" fillId="0" borderId="0" xfId="42"/>
    <xf numFmtId="0" fontId="36" fillId="3" borderId="0" xfId="42" applyFont="1" applyFill="1" applyAlignment="1">
      <alignment vertical="top" wrapText="1"/>
    </xf>
    <xf numFmtId="0" fontId="1" fillId="3" borderId="0" xfId="42" applyFill="1"/>
  </cellXfs>
  <cellStyles count="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10" xfId="19"/>
    <cellStyle name="Normal 11" xfId="20"/>
    <cellStyle name="Normal 12" xfId="21"/>
    <cellStyle name="Normal 13" xfId="22"/>
    <cellStyle name="Normal 14" xfId="23"/>
    <cellStyle name="Normal 15" xfId="24"/>
    <cellStyle name="Normal 16" xfId="25"/>
    <cellStyle name="Normal 17" xfId="26"/>
    <cellStyle name="Normal 18" xfId="27"/>
    <cellStyle name="Normal 19" xfId="28"/>
    <cellStyle name="Normal 2" xfId="11"/>
    <cellStyle name="Normal 20" xfId="29"/>
    <cellStyle name="Normal 21" xfId="30"/>
    <cellStyle name="Normal 22" xfId="31"/>
    <cellStyle name="Normal 23" xfId="32"/>
    <cellStyle name="Normal 24" xfId="33"/>
    <cellStyle name="Normal 25" xfId="34"/>
    <cellStyle name="Normal 26" xfId="35"/>
    <cellStyle name="Normal 27" xfId="36"/>
    <cellStyle name="Normal 28" xfId="37"/>
    <cellStyle name="Normal 29" xfId="38"/>
    <cellStyle name="Normal 3" xfId="12"/>
    <cellStyle name="Normal 30" xfId="39"/>
    <cellStyle name="Normal 31" xfId="40"/>
    <cellStyle name="Normal 32" xfId="41"/>
    <cellStyle name="Normal 33" xfId="42"/>
    <cellStyle name="Normal 4" xfId="13"/>
    <cellStyle name="Normal 5" xfId="14"/>
    <cellStyle name="Normal 6" xfId="15"/>
    <cellStyle name="Normal 7" xfId="16"/>
    <cellStyle name="Normal 8" xfId="17"/>
    <cellStyle name="Normal 9" xfId="18"/>
  </cellStyles>
  <dxfs count="108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/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/>
      <c r="H2" s="1"/>
      <c r="I2" s="1"/>
      <c r="J2" s="1"/>
      <c r="K2" s="1"/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/>
      <c r="H3" s="1"/>
      <c r="I3" s="1"/>
      <c r="J3" s="1"/>
      <c r="K3" s="1"/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/>
      <c r="H4" s="1"/>
      <c r="I4" s="1"/>
      <c r="J4" s="1"/>
      <c r="K4" s="1"/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/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/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/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31" stopIfTrue="1">
      <formula>COUNTBLANK($G$7)=1</formula>
    </cfRule>
    <cfRule type="containsBlanks" dxfId="107" priority="32">
      <formula>LEN(TRIM(H7))=0</formula>
    </cfRule>
  </conditionalFormatting>
  <conditionalFormatting sqref="H8:K8">
    <cfRule type="expression" priority="29" stopIfTrue="1">
      <formula>COUNTBLANK($G$8)=1</formula>
    </cfRule>
    <cfRule type="containsBlanks" dxfId="106" priority="30">
      <formula>LEN(TRIM(H8))=0</formula>
    </cfRule>
  </conditionalFormatting>
  <conditionalFormatting sqref="H9:K9">
    <cfRule type="expression" priority="27" stopIfTrue="1">
      <formula>COUNTBLANK($G$9)=1</formula>
    </cfRule>
    <cfRule type="containsBlanks" dxfId="105" priority="28">
      <formula>LEN(TRIM(H9))=0</formula>
    </cfRule>
  </conditionalFormatting>
  <conditionalFormatting sqref="H10:K10">
    <cfRule type="expression" priority="25" stopIfTrue="1">
      <formula>COUNTBLANK($G$10)=1</formula>
    </cfRule>
    <cfRule type="containsBlanks" dxfId="104" priority="26">
      <formula>LEN(TRIM(H10))=0</formula>
    </cfRule>
  </conditionalFormatting>
  <dataValidations disablePrompts="1" count="2">
    <dataValidation type="decimal" allowBlank="1" showInputMessage="1" showErrorMessage="1" sqref="O8:O10">
      <formula1>0</formula1>
      <formula2>10</formula2>
    </dataValidation>
    <dataValidation type="decimal" allowBlank="1" showInputMessage="1" showErrorMessage="1" errorTitle="Illegal input value" error="Please enter a value between 0 and 10" sqref="H7:N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 xml:space="preserve">&amp;L&amp;G&amp;C&amp;14
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28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29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 1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>Kür 2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103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102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101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100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1  -  Svår klass seniorlag&amp;B&amp;"Arial"&amp;8_x000D_
&amp;P (&amp;N)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28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29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 1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>Kür 2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99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98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97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96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2  -  Svår klass juniorlag&amp;B&amp;"Arial"&amp;8_x000D_
&amp;P (&amp;N)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34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35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>Tekn kür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95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94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93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92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3  -  Individuella seniorer&amp;B&amp;"Arial"&amp;8_x000D_
&amp;P (&amp;N)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O30"/>
  <sheetViews>
    <sheetView showRuler="0" view="pageLayout" zoomScale="80" zoomScaleNormal="100" zoomScalePageLayoutView="80" workbookViewId="0">
      <selection activeCell="A27" sqref="A27:O30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34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96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 t="s">
        <v>29</v>
      </c>
      <c r="H5" s="72" t="s">
        <v>7</v>
      </c>
      <c r="I5" s="72" t="s">
        <v>93</v>
      </c>
      <c r="J5" s="72" t="s">
        <v>94</v>
      </c>
      <c r="K5" s="72" t="s">
        <v>95</v>
      </c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 t="s">
        <v>51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 t="s">
        <v>51</v>
      </c>
      <c r="C8" s="16">
        <v>2</v>
      </c>
      <c r="D8" s="38" t="s">
        <v>47</v>
      </c>
      <c r="E8" s="31"/>
      <c r="F8" s="39" t="s">
        <v>49</v>
      </c>
      <c r="G8" s="26" t="str">
        <f>IF(round2&lt;&gt;"",round2,"")</f>
        <v>Kür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 t="s">
        <v>51</v>
      </c>
      <c r="C9" s="16">
        <v>3</v>
      </c>
      <c r="D9" s="17" t="s">
        <v>48</v>
      </c>
      <c r="E9" s="31"/>
      <c r="F9" s="16" t="s">
        <v>50</v>
      </c>
      <c r="G9" s="26" t="str">
        <f>IF(round3&lt;&gt;"",round3,"")</f>
        <v>Grund 2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 t="s">
        <v>51</v>
      </c>
      <c r="C10" s="35">
        <v>4</v>
      </c>
      <c r="D10" s="36"/>
      <c r="E10" s="37"/>
      <c r="F10" s="35"/>
      <c r="G10" s="29" t="str">
        <f>IF(round4&lt;&gt;"",round4,"")</f>
        <v>Kür 2</v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  <row r="11" spans="1:15" ht="16.5" thickBot="1" x14ac:dyDescent="0.3">
      <c r="A11" s="21">
        <f>_xlfn.FLOOR.MATH(RANK(N11,$N$7:$N$129)/4+1+SUMPRODUCT(--($N$7:$N$129=N11),--(O11&lt;$O$7:$O$129))/4)</f>
        <v>1</v>
      </c>
      <c r="B11" s="32" t="s">
        <v>55</v>
      </c>
      <c r="C11" s="32">
        <v>1</v>
      </c>
      <c r="D11" s="33"/>
      <c r="E11" s="34"/>
      <c r="F11" s="32"/>
      <c r="G11" s="27" t="str">
        <f>IF(round1&lt;&gt;"",round1,"")</f>
        <v>Grund</v>
      </c>
      <c r="H11" s="12"/>
      <c r="I11" s="12"/>
      <c r="J11" s="12"/>
      <c r="K11" s="12"/>
      <c r="L11" s="28">
        <f>IF(COUNTBLANK(H11:K11)=0,ROUND(AVERAGE(H11:K11),3),0)</f>
        <v>0</v>
      </c>
      <c r="M11" s="53">
        <f>IF(COUNTBLANK(H11:K11)=0,1,0)</f>
        <v>0</v>
      </c>
      <c r="N11" s="53">
        <f>SUM(M11:M14)</f>
        <v>0</v>
      </c>
      <c r="O11" s="18">
        <f>IF(OR(L11:L14),ROUND(AVERAGEIF(L11:L14,"&gt;0"),3),0)</f>
        <v>0</v>
      </c>
    </row>
    <row r="12" spans="1:15" ht="16.5" thickBot="1" x14ac:dyDescent="0.3">
      <c r="A12" s="56">
        <f>_xlfn.FLOOR.MATH(RANK(N12,$N$7:$N$129)/4+1+SUMPRODUCT(--($N$7:$N$129=N12),--(O12&lt;$O$7:$O$129))/4)</f>
        <v>1</v>
      </c>
      <c r="B12" s="16" t="s">
        <v>55</v>
      </c>
      <c r="C12" s="16">
        <v>2</v>
      </c>
      <c r="D12" s="38" t="s">
        <v>52</v>
      </c>
      <c r="E12" s="31"/>
      <c r="F12" s="39"/>
      <c r="G12" s="26" t="str">
        <f>IF(round2&lt;&gt;"",round2,"")</f>
        <v>Kür</v>
      </c>
      <c r="H12" s="24"/>
      <c r="I12" s="24"/>
      <c r="J12" s="24"/>
      <c r="K12" s="24"/>
      <c r="L12" s="25">
        <f>IF(COUNTBLANK(H12:K12)=0,ROUND(AVERAGE(H12:K12),3),0)</f>
        <v>0</v>
      </c>
      <c r="M12" s="53">
        <f>IF(COUNTBLANK(H12:K12)=0,1,0)</f>
        <v>0</v>
      </c>
      <c r="N12" s="54">
        <f>SUM(M11:M14)</f>
        <v>0</v>
      </c>
      <c r="O12" s="13">
        <f>IF(OR(L11:L14),ROUND(AVERAGEIF(L11:L14,"&gt;0"),3),0)</f>
        <v>0</v>
      </c>
    </row>
    <row r="13" spans="1:15" ht="16.5" thickBot="1" x14ac:dyDescent="0.3">
      <c r="A13" s="22">
        <f>_xlfn.FLOOR.MATH(RANK(N13,$N$7:$N$129)/4+1+SUMPRODUCT(--($N$7:$N$129=N13),--(O13&lt;$O$7:$O$129))/4)</f>
        <v>1</v>
      </c>
      <c r="B13" s="16" t="s">
        <v>55</v>
      </c>
      <c r="C13" s="16">
        <v>3</v>
      </c>
      <c r="D13" s="17" t="s">
        <v>53</v>
      </c>
      <c r="E13" s="31"/>
      <c r="F13" s="16" t="s">
        <v>54</v>
      </c>
      <c r="G13" s="26" t="str">
        <f>IF(round3&lt;&gt;"",round3,"")</f>
        <v>Grund 2</v>
      </c>
      <c r="H13" s="24"/>
      <c r="I13" s="24"/>
      <c r="J13" s="24"/>
      <c r="K13" s="24"/>
      <c r="L13" s="25">
        <f>IF(COUNTBLANK(H13:K13)=0,ROUND(AVERAGE(H13:K13),3),0)</f>
        <v>0</v>
      </c>
      <c r="M13" s="53">
        <f>IF(COUNTBLANK(H13:K13)=0,1,0)</f>
        <v>0</v>
      </c>
      <c r="N13" s="54">
        <f>SUM(M11:M14)</f>
        <v>0</v>
      </c>
      <c r="O13" s="19">
        <f>IF(OR(L11:L14),ROUND(AVERAGEIF(L11:L14,"&gt;0"),3),0)</f>
        <v>0</v>
      </c>
    </row>
    <row r="14" spans="1:15" ht="16.5" thickBot="1" x14ac:dyDescent="0.3">
      <c r="A14" s="23">
        <f>_xlfn.FLOOR.MATH(RANK(N14,$N$7:$N$129)/4+1+SUMPRODUCT(--($N$7:$N$129=N14),--(O14&lt;$O$7:$O$129))/4)</f>
        <v>1</v>
      </c>
      <c r="B14" s="35" t="s">
        <v>55</v>
      </c>
      <c r="C14" s="35">
        <v>4</v>
      </c>
      <c r="D14" s="36"/>
      <c r="E14" s="37"/>
      <c r="F14" s="35"/>
      <c r="G14" s="29" t="str">
        <f>IF(round4&lt;&gt;"",round4,"")</f>
        <v>Kür 2</v>
      </c>
      <c r="H14" s="14"/>
      <c r="I14" s="14"/>
      <c r="J14" s="14"/>
      <c r="K14" s="14"/>
      <c r="L14" s="30">
        <f>IF(COUNTBLANK(H14:K14)=0,ROUND(AVERAGE(H14:K14),3),0)</f>
        <v>0</v>
      </c>
      <c r="M14" s="53">
        <f>IF(COUNTBLANK(H14:K14)=0,1,0)</f>
        <v>0</v>
      </c>
      <c r="N14" s="55">
        <f>SUM(M11:M14)</f>
        <v>0</v>
      </c>
      <c r="O14" s="20">
        <f>IF(OR(L11:L14),ROUND(AVERAGEIF(L11:L14,"&gt;0"),3),0)</f>
        <v>0</v>
      </c>
    </row>
    <row r="15" spans="1:15" ht="16.5" thickBot="1" x14ac:dyDescent="0.3">
      <c r="A15" s="21">
        <f>_xlfn.FLOOR.MATH(RANK(N15,$N$7:$N$129)/4+1+SUMPRODUCT(--($N$7:$N$129=N15),--(O15&lt;$O$7:$O$129))/4)</f>
        <v>1</v>
      </c>
      <c r="B15" s="32" t="s">
        <v>63</v>
      </c>
      <c r="C15" s="32">
        <v>1</v>
      </c>
      <c r="D15" s="33"/>
      <c r="E15" s="34"/>
      <c r="F15" s="32"/>
      <c r="G15" s="27" t="str">
        <f>IF(round1&lt;&gt;"",round1,"")</f>
        <v>Grund</v>
      </c>
      <c r="H15" s="12"/>
      <c r="I15" s="12"/>
      <c r="J15" s="12"/>
      <c r="K15" s="12"/>
      <c r="L15" s="28">
        <f>IF(COUNTBLANK(H15:K15)=0,ROUND(AVERAGE(H15:K15),3),0)</f>
        <v>0</v>
      </c>
      <c r="M15" s="53">
        <f>IF(COUNTBLANK(H15:K15)=0,1,0)</f>
        <v>0</v>
      </c>
      <c r="N15" s="53">
        <f>SUM(M15:M18)</f>
        <v>0</v>
      </c>
      <c r="O15" s="18">
        <f>IF(OR(L15:L18),ROUND(AVERAGEIF(L15:L18,"&gt;0"),3),0)</f>
        <v>0</v>
      </c>
    </row>
    <row r="16" spans="1:15" ht="16.5" thickBot="1" x14ac:dyDescent="0.3">
      <c r="A16" s="56">
        <f>_xlfn.FLOOR.MATH(RANK(N16,$N$7:$N$129)/4+1+SUMPRODUCT(--($N$7:$N$129=N16),--(O16&lt;$O$7:$O$129))/4)</f>
        <v>1</v>
      </c>
      <c r="B16" s="16" t="s">
        <v>63</v>
      </c>
      <c r="C16" s="16">
        <v>2</v>
      </c>
      <c r="D16" s="38" t="s">
        <v>60</v>
      </c>
      <c r="E16" s="31"/>
      <c r="F16" s="39"/>
      <c r="G16" s="26" t="str">
        <f>IF(round2&lt;&gt;"",round2,"")</f>
        <v>Kür</v>
      </c>
      <c r="H16" s="24"/>
      <c r="I16" s="24"/>
      <c r="J16" s="24"/>
      <c r="K16" s="24"/>
      <c r="L16" s="25">
        <f>IF(COUNTBLANK(H16:K16)=0,ROUND(AVERAGE(H16:K16),3),0)</f>
        <v>0</v>
      </c>
      <c r="M16" s="53">
        <f>IF(COUNTBLANK(H16:K16)=0,1,0)</f>
        <v>0</v>
      </c>
      <c r="N16" s="54">
        <f>SUM(M15:M18)</f>
        <v>0</v>
      </c>
      <c r="O16" s="13">
        <f>IF(OR(L15:L18),ROUND(AVERAGEIF(L15:L18,"&gt;0"),3),0)</f>
        <v>0</v>
      </c>
    </row>
    <row r="17" spans="1:15" ht="16.5" thickBot="1" x14ac:dyDescent="0.3">
      <c r="A17" s="22">
        <f>_xlfn.FLOOR.MATH(RANK(N17,$N$7:$N$129)/4+1+SUMPRODUCT(--($N$7:$N$129=N17),--(O17&lt;$O$7:$O$129))/4)</f>
        <v>1</v>
      </c>
      <c r="B17" s="16" t="s">
        <v>63</v>
      </c>
      <c r="C17" s="16">
        <v>3</v>
      </c>
      <c r="D17" s="17" t="s">
        <v>61</v>
      </c>
      <c r="E17" s="31"/>
      <c r="F17" s="16" t="s">
        <v>62</v>
      </c>
      <c r="G17" s="26" t="str">
        <f>IF(round3&lt;&gt;"",round3,"")</f>
        <v>Grund 2</v>
      </c>
      <c r="H17" s="24"/>
      <c r="I17" s="24"/>
      <c r="J17" s="24"/>
      <c r="K17" s="24"/>
      <c r="L17" s="25">
        <f>IF(COUNTBLANK(H17:K17)=0,ROUND(AVERAGE(H17:K17),3),0)</f>
        <v>0</v>
      </c>
      <c r="M17" s="53">
        <f>IF(COUNTBLANK(H17:K17)=0,1,0)</f>
        <v>0</v>
      </c>
      <c r="N17" s="54">
        <f>SUM(M15:M18)</f>
        <v>0</v>
      </c>
      <c r="O17" s="19">
        <f>IF(OR(L15:L18),ROUND(AVERAGEIF(L15:L18,"&gt;0"),3),0)</f>
        <v>0</v>
      </c>
    </row>
    <row r="18" spans="1:15" ht="16.5" thickBot="1" x14ac:dyDescent="0.3">
      <c r="A18" s="23">
        <f>_xlfn.FLOOR.MATH(RANK(N18,$N$7:$N$129)/4+1+SUMPRODUCT(--($N$7:$N$129=N18),--(O18&lt;$O$7:$O$129))/4)</f>
        <v>1</v>
      </c>
      <c r="B18" s="35" t="s">
        <v>63</v>
      </c>
      <c r="C18" s="35">
        <v>4</v>
      </c>
      <c r="D18" s="36"/>
      <c r="E18" s="37"/>
      <c r="F18" s="35"/>
      <c r="G18" s="29" t="str">
        <f>IF(round4&lt;&gt;"",round4,"")</f>
        <v>Kür 2</v>
      </c>
      <c r="H18" s="14"/>
      <c r="I18" s="14"/>
      <c r="J18" s="14"/>
      <c r="K18" s="14"/>
      <c r="L18" s="30">
        <f>IF(COUNTBLANK(H18:K18)=0,ROUND(AVERAGE(H18:K18),3),0)</f>
        <v>0</v>
      </c>
      <c r="M18" s="53">
        <f>IF(COUNTBLANK(H18:K18)=0,1,0)</f>
        <v>0</v>
      </c>
      <c r="N18" s="55">
        <f>SUM(M15:M18)</f>
        <v>0</v>
      </c>
      <c r="O18" s="20">
        <f>IF(OR(L15:L18),ROUND(AVERAGEIF(L15:L18,"&gt;0"),3),0)</f>
        <v>0</v>
      </c>
    </row>
    <row r="19" spans="1:15" ht="16.5" thickBot="1" x14ac:dyDescent="0.3">
      <c r="A19" s="21">
        <f>_xlfn.FLOOR.MATH(RANK(N19,$N$7:$N$129)/4+1+SUMPRODUCT(--($N$7:$N$129=N19),--(O19&lt;$O$7:$O$129))/4)</f>
        <v>1</v>
      </c>
      <c r="B19" s="32" t="s">
        <v>77</v>
      </c>
      <c r="C19" s="32">
        <v>1</v>
      </c>
      <c r="D19" s="33"/>
      <c r="E19" s="34"/>
      <c r="F19" s="32"/>
      <c r="G19" s="27" t="str">
        <f>IF(round1&lt;&gt;"",round1,"")</f>
        <v>Grund</v>
      </c>
      <c r="H19" s="12"/>
      <c r="I19" s="12"/>
      <c r="J19" s="12"/>
      <c r="K19" s="12"/>
      <c r="L19" s="28">
        <f>IF(COUNTBLANK(H19:K19)=0,ROUND(AVERAGE(H19:K19),3),0)</f>
        <v>0</v>
      </c>
      <c r="M19" s="53">
        <f>IF(COUNTBLANK(H19:K19)=0,1,0)</f>
        <v>0</v>
      </c>
      <c r="N19" s="53">
        <f>SUM(M19:M22)</f>
        <v>0</v>
      </c>
      <c r="O19" s="18">
        <f>IF(OR(L19:L22),ROUND(AVERAGEIF(L19:L22,"&gt;0"),3),0)</f>
        <v>0</v>
      </c>
    </row>
    <row r="20" spans="1:15" ht="16.5" thickBot="1" x14ac:dyDescent="0.3">
      <c r="A20" s="56">
        <f>_xlfn.FLOOR.MATH(RANK(N20,$N$7:$N$129)/4+1+SUMPRODUCT(--($N$7:$N$129=N20),--(O20&lt;$O$7:$O$129))/4)</f>
        <v>1</v>
      </c>
      <c r="B20" s="16" t="s">
        <v>77</v>
      </c>
      <c r="C20" s="16">
        <v>2</v>
      </c>
      <c r="D20" s="38" t="s">
        <v>76</v>
      </c>
      <c r="E20" s="31"/>
      <c r="F20" s="39"/>
      <c r="G20" s="26" t="str">
        <f>IF(round2&lt;&gt;"",round2,"")</f>
        <v>Kür</v>
      </c>
      <c r="H20" s="24"/>
      <c r="I20" s="24"/>
      <c r="J20" s="24"/>
      <c r="K20" s="24"/>
      <c r="L20" s="25">
        <f>IF(COUNTBLANK(H20:K20)=0,ROUND(AVERAGE(H20:K20),3),0)</f>
        <v>0</v>
      </c>
      <c r="M20" s="53">
        <f>IF(COUNTBLANK(H20:K20)=0,1,0)</f>
        <v>0</v>
      </c>
      <c r="N20" s="54">
        <f>SUM(M19:M22)</f>
        <v>0</v>
      </c>
      <c r="O20" s="13">
        <f>IF(OR(L19:L22),ROUND(AVERAGEIF(L19:L22,"&gt;0"),3),0)</f>
        <v>0</v>
      </c>
    </row>
    <row r="21" spans="1:15" ht="16.5" thickBot="1" x14ac:dyDescent="0.3">
      <c r="A21" s="22">
        <f>_xlfn.FLOOR.MATH(RANK(N21,$N$7:$N$129)/4+1+SUMPRODUCT(--($N$7:$N$129=N21),--(O21&lt;$O$7:$O$129))/4)</f>
        <v>1</v>
      </c>
      <c r="B21" s="16" t="s">
        <v>77</v>
      </c>
      <c r="C21" s="16">
        <v>3</v>
      </c>
      <c r="D21" s="17" t="s">
        <v>73</v>
      </c>
      <c r="E21" s="31"/>
      <c r="F21" s="16" t="s">
        <v>74</v>
      </c>
      <c r="G21" s="26" t="str">
        <f>IF(round3&lt;&gt;"",round3,"")</f>
        <v>Grund 2</v>
      </c>
      <c r="H21" s="24"/>
      <c r="I21" s="24"/>
      <c r="J21" s="24"/>
      <c r="K21" s="24"/>
      <c r="L21" s="25">
        <f>IF(COUNTBLANK(H21:K21)=0,ROUND(AVERAGE(H21:K21),3),0)</f>
        <v>0</v>
      </c>
      <c r="M21" s="53">
        <f>IF(COUNTBLANK(H21:K21)=0,1,0)</f>
        <v>0</v>
      </c>
      <c r="N21" s="54">
        <f>SUM(M19:M22)</f>
        <v>0</v>
      </c>
      <c r="O21" s="19">
        <f>IF(OR(L19:L22),ROUND(AVERAGEIF(L19:L22,"&gt;0"),3),0)</f>
        <v>0</v>
      </c>
    </row>
    <row r="22" spans="1:15" ht="16.5" thickBot="1" x14ac:dyDescent="0.3">
      <c r="A22" s="23">
        <f>_xlfn.FLOOR.MATH(RANK(N22,$N$7:$N$129)/4+1+SUMPRODUCT(--($N$7:$N$129=N22),--(O22&lt;$O$7:$O$129))/4)</f>
        <v>1</v>
      </c>
      <c r="B22" s="35" t="s">
        <v>77</v>
      </c>
      <c r="C22" s="35">
        <v>4</v>
      </c>
      <c r="D22" s="36"/>
      <c r="E22" s="37"/>
      <c r="F22" s="35"/>
      <c r="G22" s="29" t="str">
        <f>IF(round4&lt;&gt;"",round4,"")</f>
        <v>Kür 2</v>
      </c>
      <c r="H22" s="14"/>
      <c r="I22" s="14"/>
      <c r="J22" s="14"/>
      <c r="K22" s="14"/>
      <c r="L22" s="30">
        <f>IF(COUNTBLANK(H22:K22)=0,ROUND(AVERAGE(H22:K22),3),0)</f>
        <v>0</v>
      </c>
      <c r="M22" s="53">
        <f>IF(COUNTBLANK(H22:K22)=0,1,0)</f>
        <v>0</v>
      </c>
      <c r="N22" s="55">
        <f>SUM(M19:M22)</f>
        <v>0</v>
      </c>
      <c r="O22" s="20">
        <f>IF(OR(L19:L22),ROUND(AVERAGEIF(L19:L22,"&gt;0"),3),0)</f>
        <v>0</v>
      </c>
    </row>
    <row r="23" spans="1:15" ht="16.5" thickBot="1" x14ac:dyDescent="0.3">
      <c r="A23" s="21">
        <f>_xlfn.FLOOR.MATH(RANK(N23,$N$7:$N$129)/4+1+SUMPRODUCT(--($N$7:$N$129=N23),--(O23&lt;$O$7:$O$129))/4)</f>
        <v>1</v>
      </c>
      <c r="B23" s="32" t="s">
        <v>84</v>
      </c>
      <c r="C23" s="32">
        <v>1</v>
      </c>
      <c r="D23" s="33"/>
      <c r="E23" s="34"/>
      <c r="F23" s="32"/>
      <c r="G23" s="27" t="str">
        <f>IF(round1&lt;&gt;"",round1,"")</f>
        <v>Grund</v>
      </c>
      <c r="H23" s="12"/>
      <c r="I23" s="12"/>
      <c r="J23" s="12"/>
      <c r="K23" s="12"/>
      <c r="L23" s="28">
        <f>IF(COUNTBLANK(H23:K23)=0,ROUND(AVERAGE(H23:K23),3),0)</f>
        <v>0</v>
      </c>
      <c r="M23" s="53">
        <f>IF(COUNTBLANK(H23:K23)=0,1,0)</f>
        <v>0</v>
      </c>
      <c r="N23" s="53">
        <f>SUM(M23:M26)</f>
        <v>0</v>
      </c>
      <c r="O23" s="18">
        <f>IF(OR(L23:L26),ROUND(AVERAGEIF(L23:L26,"&gt;0"),3),0)</f>
        <v>0</v>
      </c>
    </row>
    <row r="24" spans="1:15" ht="16.5" thickBot="1" x14ac:dyDescent="0.3">
      <c r="A24" s="56">
        <f>_xlfn.FLOOR.MATH(RANK(N24,$N$7:$N$129)/4+1+SUMPRODUCT(--($N$7:$N$129=N24),--(O24&lt;$O$7:$O$129))/4)</f>
        <v>1</v>
      </c>
      <c r="B24" s="16" t="s">
        <v>84</v>
      </c>
      <c r="C24" s="16">
        <v>2</v>
      </c>
      <c r="D24" s="38" t="s">
        <v>82</v>
      </c>
      <c r="E24" s="31"/>
      <c r="F24" s="39" t="s">
        <v>83</v>
      </c>
      <c r="G24" s="26" t="str">
        <f>IF(round2&lt;&gt;"",round2,"")</f>
        <v>Kür</v>
      </c>
      <c r="H24" s="24"/>
      <c r="I24" s="24"/>
      <c r="J24" s="24"/>
      <c r="K24" s="24"/>
      <c r="L24" s="25">
        <f>IF(COUNTBLANK(H24:K24)=0,ROUND(AVERAGE(H24:K24),3),0)</f>
        <v>0</v>
      </c>
      <c r="M24" s="53">
        <f>IF(COUNTBLANK(H24:K24)=0,1,0)</f>
        <v>0</v>
      </c>
      <c r="N24" s="54">
        <f>SUM(M23:M26)</f>
        <v>0</v>
      </c>
      <c r="O24" s="13">
        <f>IF(OR(L23:L26),ROUND(AVERAGEIF(L23:L26,"&gt;0"),3),0)</f>
        <v>0</v>
      </c>
    </row>
    <row r="25" spans="1:15" ht="16.5" thickBot="1" x14ac:dyDescent="0.3">
      <c r="A25" s="22">
        <f>_xlfn.FLOOR.MATH(RANK(N25,$N$7:$N$129)/4+1+SUMPRODUCT(--($N$7:$N$129=N25),--(O25&lt;$O$7:$O$129))/4)</f>
        <v>1</v>
      </c>
      <c r="B25" s="16" t="s">
        <v>84</v>
      </c>
      <c r="C25" s="16">
        <v>3</v>
      </c>
      <c r="D25" s="17" t="s">
        <v>79</v>
      </c>
      <c r="E25" s="31"/>
      <c r="F25" s="16" t="s">
        <v>80</v>
      </c>
      <c r="G25" s="26" t="str">
        <f>IF(round3&lt;&gt;"",round3,"")</f>
        <v>Grund 2</v>
      </c>
      <c r="H25" s="24"/>
      <c r="I25" s="24"/>
      <c r="J25" s="24"/>
      <c r="K25" s="24"/>
      <c r="L25" s="25">
        <f>IF(COUNTBLANK(H25:K25)=0,ROUND(AVERAGE(H25:K25),3),0)</f>
        <v>0</v>
      </c>
      <c r="M25" s="53">
        <f>IF(COUNTBLANK(H25:K25)=0,1,0)</f>
        <v>0</v>
      </c>
      <c r="N25" s="54">
        <f>SUM(M23:M26)</f>
        <v>0</v>
      </c>
      <c r="O25" s="19">
        <f>IF(OR(L23:L26),ROUND(AVERAGEIF(L23:L26,"&gt;0"),3),0)</f>
        <v>0</v>
      </c>
    </row>
    <row r="26" spans="1:15" ht="16.5" thickBot="1" x14ac:dyDescent="0.3">
      <c r="A26" s="23">
        <f>_xlfn.FLOOR.MATH(RANK(N26,$N$7:$N$129)/4+1+SUMPRODUCT(--($N$7:$N$129=N26),--(O26&lt;$O$7:$O$129))/4)</f>
        <v>1</v>
      </c>
      <c r="B26" s="35" t="s">
        <v>84</v>
      </c>
      <c r="C26" s="35">
        <v>4</v>
      </c>
      <c r="D26" s="36"/>
      <c r="E26" s="37"/>
      <c r="F26" s="35"/>
      <c r="G26" s="29" t="str">
        <f>IF(round4&lt;&gt;"",round4,"")</f>
        <v>Kür 2</v>
      </c>
      <c r="H26" s="14"/>
      <c r="I26" s="14"/>
      <c r="J26" s="14"/>
      <c r="K26" s="14"/>
      <c r="L26" s="30">
        <f>IF(COUNTBLANK(H26:K26)=0,ROUND(AVERAGE(H26:K26),3),0)</f>
        <v>0</v>
      </c>
      <c r="M26" s="53">
        <f>IF(COUNTBLANK(H26:K26)=0,1,0)</f>
        <v>0</v>
      </c>
      <c r="N26" s="55">
        <f>SUM(M23:M26)</f>
        <v>0</v>
      </c>
      <c r="O26" s="20">
        <f>IF(OR(L23:L26),ROUND(AVERAGEIF(L23:L26,"&gt;0"),3),0)</f>
        <v>0</v>
      </c>
    </row>
    <row r="27" spans="1:15" ht="16.5" thickBot="1" x14ac:dyDescent="0.3">
      <c r="A27" s="21">
        <f>_xlfn.FLOOR.MATH(RANK(N27,$N$7:$N$129)/4+1+SUMPRODUCT(--($N$7:$N$129=N27),--(O27&lt;$O$7:$O$129))/4)</f>
        <v>1</v>
      </c>
      <c r="B27" s="32" t="s">
        <v>92</v>
      </c>
      <c r="C27" s="32">
        <v>1</v>
      </c>
      <c r="D27" s="33"/>
      <c r="E27" s="34"/>
      <c r="F27" s="32"/>
      <c r="G27" s="27" t="str">
        <f>IF(round1&lt;&gt;"",round1,"")</f>
        <v>Grund</v>
      </c>
      <c r="H27" s="12"/>
      <c r="I27" s="12"/>
      <c r="J27" s="12"/>
      <c r="K27" s="12"/>
      <c r="L27" s="28">
        <f>IF(COUNTBLANK(H27:K27)=0,ROUND(AVERAGE(H27:K27),3),0)</f>
        <v>0</v>
      </c>
      <c r="M27" s="53">
        <f>IF(COUNTBLANK(H27:K27)=0,1,0)</f>
        <v>0</v>
      </c>
      <c r="N27" s="53">
        <f>SUM(M27:M30)</f>
        <v>0</v>
      </c>
      <c r="O27" s="18">
        <f>IF(OR(L27:L30),ROUND(AVERAGEIF(L27:L30,"&gt;0"),3),0)</f>
        <v>0</v>
      </c>
    </row>
    <row r="28" spans="1:15" ht="16.5" thickBot="1" x14ac:dyDescent="0.3">
      <c r="A28" s="56">
        <f>_xlfn.FLOOR.MATH(RANK(N28,$N$7:$N$129)/4+1+SUMPRODUCT(--($N$7:$N$129=N28),--(O28&lt;$O$7:$O$129))/4)</f>
        <v>1</v>
      </c>
      <c r="B28" s="16" t="s">
        <v>92</v>
      </c>
      <c r="C28" s="16">
        <v>2</v>
      </c>
      <c r="D28" s="38" t="s">
        <v>91</v>
      </c>
      <c r="E28" s="31"/>
      <c r="F28" s="39"/>
      <c r="G28" s="26" t="str">
        <f>IF(round2&lt;&gt;"",round2,"")</f>
        <v>Kür</v>
      </c>
      <c r="H28" s="24"/>
      <c r="I28" s="24"/>
      <c r="J28" s="24"/>
      <c r="K28" s="24"/>
      <c r="L28" s="25">
        <f>IF(COUNTBLANK(H28:K28)=0,ROUND(AVERAGE(H28:K28),3),0)</f>
        <v>0</v>
      </c>
      <c r="M28" s="53">
        <f>IF(COUNTBLANK(H28:K28)=0,1,0)</f>
        <v>0</v>
      </c>
      <c r="N28" s="54">
        <f>SUM(M27:M30)</f>
        <v>0</v>
      </c>
      <c r="O28" s="13">
        <f>IF(OR(L27:L30),ROUND(AVERAGEIF(L27:L30,"&gt;0"),3),0)</f>
        <v>0</v>
      </c>
    </row>
    <row r="29" spans="1:15" ht="16.5" thickBot="1" x14ac:dyDescent="0.3">
      <c r="A29" s="22">
        <f>_xlfn.FLOOR.MATH(RANK(N29,$N$7:$N$129)/4+1+SUMPRODUCT(--($N$7:$N$129=N29),--(O29&lt;$O$7:$O$129))/4)</f>
        <v>1</v>
      </c>
      <c r="B29" s="16" t="s">
        <v>92</v>
      </c>
      <c r="C29" s="16">
        <v>3</v>
      </c>
      <c r="D29" s="17" t="s">
        <v>86</v>
      </c>
      <c r="E29" s="31"/>
      <c r="F29" s="16" t="s">
        <v>87</v>
      </c>
      <c r="G29" s="26" t="str">
        <f>IF(round3&lt;&gt;"",round3,"")</f>
        <v>Grund 2</v>
      </c>
      <c r="H29" s="24"/>
      <c r="I29" s="24"/>
      <c r="J29" s="24"/>
      <c r="K29" s="24"/>
      <c r="L29" s="25">
        <f>IF(COUNTBLANK(H29:K29)=0,ROUND(AVERAGE(H29:K29),3),0)</f>
        <v>0</v>
      </c>
      <c r="M29" s="53">
        <f>IF(COUNTBLANK(H29:K29)=0,1,0)</f>
        <v>0</v>
      </c>
      <c r="N29" s="54">
        <f>SUM(M27:M30)</f>
        <v>0</v>
      </c>
      <c r="O29" s="19">
        <f>IF(OR(L27:L30),ROUND(AVERAGEIF(L27:L30,"&gt;0"),3),0)</f>
        <v>0</v>
      </c>
    </row>
    <row r="30" spans="1:15" ht="16.5" thickBot="1" x14ac:dyDescent="0.3">
      <c r="A30" s="23">
        <f>_xlfn.FLOOR.MATH(RANK(N30,$N$7:$N$129)/4+1+SUMPRODUCT(--($N$7:$N$129=N30),--(O30&lt;$O$7:$O$129))/4)</f>
        <v>1</v>
      </c>
      <c r="B30" s="35" t="s">
        <v>92</v>
      </c>
      <c r="C30" s="35">
        <v>4</v>
      </c>
      <c r="D30" s="36"/>
      <c r="E30" s="37"/>
      <c r="F30" s="35"/>
      <c r="G30" s="29" t="str">
        <f>IF(round4&lt;&gt;"",round4,"")</f>
        <v>Kür 2</v>
      </c>
      <c r="H30" s="14"/>
      <c r="I30" s="14"/>
      <c r="J30" s="14"/>
      <c r="K30" s="14"/>
      <c r="L30" s="30">
        <f>IF(COUNTBLANK(H30:K30)=0,ROUND(AVERAGE(H30:K30),3),0)</f>
        <v>0</v>
      </c>
      <c r="M30" s="53">
        <f>IF(COUNTBLANK(H30:K30)=0,1,0)</f>
        <v>0</v>
      </c>
      <c r="N30" s="55">
        <f>SUM(M27:M30)</f>
        <v>0</v>
      </c>
      <c r="O30" s="20">
        <f>IF(OR(L27:L30),ROUND(AVERAGEIF(L27:L30,"&gt;0"),3),0)</f>
        <v>0</v>
      </c>
    </row>
  </sheetData>
  <sortState ref="A7:O30">
    <sortCondition ref="A7"/>
  </sortState>
  <conditionalFormatting sqref="H7:K7">
    <cfRule type="expression" priority="47" stopIfTrue="1">
      <formula>COUNTBLANK($G$7)=1</formula>
    </cfRule>
    <cfRule type="containsBlanks" dxfId="91" priority="48">
      <formula>LEN(TRIM(H7))=0</formula>
    </cfRule>
  </conditionalFormatting>
  <conditionalFormatting sqref="H8:K8">
    <cfRule type="expression" priority="45" stopIfTrue="1">
      <formula>COUNTBLANK($G$8)=1</formula>
    </cfRule>
    <cfRule type="containsBlanks" dxfId="90" priority="46">
      <formula>LEN(TRIM(H8))=0</formula>
    </cfRule>
  </conditionalFormatting>
  <conditionalFormatting sqref="H9:K9">
    <cfRule type="expression" priority="43" stopIfTrue="1">
      <formula>COUNTBLANK($G$9)=1</formula>
    </cfRule>
    <cfRule type="containsBlanks" dxfId="89" priority="44">
      <formula>LEN(TRIM(H9))=0</formula>
    </cfRule>
  </conditionalFormatting>
  <conditionalFormatting sqref="H10:K10">
    <cfRule type="expression" priority="41" stopIfTrue="1">
      <formula>COUNTBLANK($G$10)=1</formula>
    </cfRule>
    <cfRule type="containsBlanks" dxfId="88" priority="42">
      <formula>LEN(TRIM(H10))=0</formula>
    </cfRule>
  </conditionalFormatting>
  <conditionalFormatting sqref="H11:K11">
    <cfRule type="expression" priority="39" stopIfTrue="1">
      <formula>COUNTBLANK($G$7)=1</formula>
    </cfRule>
    <cfRule type="containsBlanks" dxfId="87" priority="40">
      <formula>LEN(TRIM(H11))=0</formula>
    </cfRule>
  </conditionalFormatting>
  <conditionalFormatting sqref="H12:K12">
    <cfRule type="expression" priority="37" stopIfTrue="1">
      <formula>COUNTBLANK($G$8)=1</formula>
    </cfRule>
    <cfRule type="containsBlanks" dxfId="86" priority="38">
      <formula>LEN(TRIM(H12))=0</formula>
    </cfRule>
  </conditionalFormatting>
  <conditionalFormatting sqref="H13:K13">
    <cfRule type="expression" priority="35" stopIfTrue="1">
      <formula>COUNTBLANK($G$9)=1</formula>
    </cfRule>
    <cfRule type="containsBlanks" dxfId="85" priority="36">
      <formula>LEN(TRIM(H13))=0</formula>
    </cfRule>
  </conditionalFormatting>
  <conditionalFormatting sqref="H14:K14">
    <cfRule type="expression" priority="33" stopIfTrue="1">
      <formula>COUNTBLANK($G$10)=1</formula>
    </cfRule>
    <cfRule type="containsBlanks" dxfId="84" priority="34">
      <formula>LEN(TRIM(H14))=0</formula>
    </cfRule>
  </conditionalFormatting>
  <conditionalFormatting sqref="H15:K15">
    <cfRule type="expression" priority="31" stopIfTrue="1">
      <formula>COUNTBLANK($G$7)=1</formula>
    </cfRule>
    <cfRule type="containsBlanks" dxfId="83" priority="32">
      <formula>LEN(TRIM(H15))=0</formula>
    </cfRule>
  </conditionalFormatting>
  <conditionalFormatting sqref="H16:K16">
    <cfRule type="expression" priority="29" stopIfTrue="1">
      <formula>COUNTBLANK($G$8)=1</formula>
    </cfRule>
    <cfRule type="containsBlanks" dxfId="82" priority="30">
      <formula>LEN(TRIM(H16))=0</formula>
    </cfRule>
  </conditionalFormatting>
  <conditionalFormatting sqref="H17:K17">
    <cfRule type="expression" priority="27" stopIfTrue="1">
      <formula>COUNTBLANK($G$9)=1</formula>
    </cfRule>
    <cfRule type="containsBlanks" dxfId="81" priority="28">
      <formula>LEN(TRIM(H17))=0</formula>
    </cfRule>
  </conditionalFormatting>
  <conditionalFormatting sqref="H18:K18">
    <cfRule type="expression" priority="25" stopIfTrue="1">
      <formula>COUNTBLANK($G$10)=1</formula>
    </cfRule>
    <cfRule type="containsBlanks" dxfId="80" priority="26">
      <formula>LEN(TRIM(H18))=0</formula>
    </cfRule>
  </conditionalFormatting>
  <conditionalFormatting sqref="H19:K19">
    <cfRule type="expression" priority="23" stopIfTrue="1">
      <formula>COUNTBLANK($G$7)=1</formula>
    </cfRule>
    <cfRule type="containsBlanks" dxfId="79" priority="24">
      <formula>LEN(TRIM(H19))=0</formula>
    </cfRule>
  </conditionalFormatting>
  <conditionalFormatting sqref="H20:K20">
    <cfRule type="expression" priority="21" stopIfTrue="1">
      <formula>COUNTBLANK($G$8)=1</formula>
    </cfRule>
    <cfRule type="containsBlanks" dxfId="78" priority="22">
      <formula>LEN(TRIM(H20))=0</formula>
    </cfRule>
  </conditionalFormatting>
  <conditionalFormatting sqref="H21:K21">
    <cfRule type="expression" priority="19" stopIfTrue="1">
      <formula>COUNTBLANK($G$9)=1</formula>
    </cfRule>
    <cfRule type="containsBlanks" dxfId="77" priority="20">
      <formula>LEN(TRIM(H21))=0</formula>
    </cfRule>
  </conditionalFormatting>
  <conditionalFormatting sqref="H22:K22">
    <cfRule type="expression" priority="17" stopIfTrue="1">
      <formula>COUNTBLANK($G$10)=1</formula>
    </cfRule>
    <cfRule type="containsBlanks" dxfId="76" priority="18">
      <formula>LEN(TRIM(H22))=0</formula>
    </cfRule>
  </conditionalFormatting>
  <conditionalFormatting sqref="H23:K23">
    <cfRule type="expression" priority="15" stopIfTrue="1">
      <formula>COUNTBLANK($G$7)=1</formula>
    </cfRule>
    <cfRule type="containsBlanks" dxfId="75" priority="16">
      <formula>LEN(TRIM(H23))=0</formula>
    </cfRule>
  </conditionalFormatting>
  <conditionalFormatting sqref="H24:K24">
    <cfRule type="expression" priority="13" stopIfTrue="1">
      <formula>COUNTBLANK($G$8)=1</formula>
    </cfRule>
    <cfRule type="containsBlanks" dxfId="74" priority="14">
      <formula>LEN(TRIM(H24))=0</formula>
    </cfRule>
  </conditionalFormatting>
  <conditionalFormatting sqref="H25:K25">
    <cfRule type="expression" priority="11" stopIfTrue="1">
      <formula>COUNTBLANK($G$9)=1</formula>
    </cfRule>
    <cfRule type="containsBlanks" dxfId="73" priority="12">
      <formula>LEN(TRIM(H25))=0</formula>
    </cfRule>
  </conditionalFormatting>
  <conditionalFormatting sqref="H26:K26">
    <cfRule type="expression" priority="9" stopIfTrue="1">
      <formula>COUNTBLANK($G$10)=1</formula>
    </cfRule>
    <cfRule type="containsBlanks" dxfId="72" priority="10">
      <formula>LEN(TRIM(H26))=0</formula>
    </cfRule>
  </conditionalFormatting>
  <conditionalFormatting sqref="H27:K27">
    <cfRule type="expression" priority="7" stopIfTrue="1">
      <formula>COUNTBLANK($G$7)=1</formula>
    </cfRule>
    <cfRule type="containsBlanks" dxfId="71" priority="8">
      <formula>LEN(TRIM(H27))=0</formula>
    </cfRule>
  </conditionalFormatting>
  <conditionalFormatting sqref="H28:K28">
    <cfRule type="expression" priority="5" stopIfTrue="1">
      <formula>COUNTBLANK($G$8)=1</formula>
    </cfRule>
    <cfRule type="containsBlanks" dxfId="70" priority="6">
      <formula>LEN(TRIM(H28))=0</formula>
    </cfRule>
  </conditionalFormatting>
  <conditionalFormatting sqref="H29:K29">
    <cfRule type="expression" priority="3" stopIfTrue="1">
      <formula>COUNTBLANK($G$9)=1</formula>
    </cfRule>
    <cfRule type="containsBlanks" dxfId="69" priority="4">
      <formula>LEN(TRIM(H29))=0</formula>
    </cfRule>
  </conditionalFormatting>
  <conditionalFormatting sqref="H30:K30">
    <cfRule type="expression" priority="1" stopIfTrue="1">
      <formula>COUNTBLANK($G$10)=1</formula>
    </cfRule>
    <cfRule type="containsBlanks" dxfId="68" priority="2">
      <formula>LEN(TRIM(H30))=0</formula>
    </cfRule>
  </conditionalFormatting>
  <dataValidations count="2">
    <dataValidation type="decimal" allowBlank="1" showInputMessage="1" showErrorMessage="1" errorTitle="Illegal input value" error="Please enter a value between 0 and 10" sqref="H7:N30">
      <formula1>0</formula1>
      <formula2>10</formula2>
    </dataValidation>
    <dataValidation type="decimal" allowBlank="1" showInputMessage="1" showErrorMessage="1" sqref="O8:O10 O12:O14 O16:O18 O20:O22 O24:O26 O28:O3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4  -  Individuella juniorer&amp;B&amp;"Arial"&amp;8_x000D_
&amp;P (&amp;N)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O42"/>
  <sheetViews>
    <sheetView showRuler="0" view="pageLayout" zoomScale="80" zoomScaleNormal="100" zoomScalePageLayoutView="80" workbookViewId="0">
      <selection activeCell="A39" sqref="A39:O42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34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96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 t="s">
        <v>29</v>
      </c>
      <c r="H5" s="72" t="s">
        <v>7</v>
      </c>
      <c r="I5" s="72" t="s">
        <v>93</v>
      </c>
      <c r="J5" s="72" t="s">
        <v>94</v>
      </c>
      <c r="K5" s="72" t="s">
        <v>95</v>
      </c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 t="s">
        <v>57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 t="s">
        <v>57</v>
      </c>
      <c r="C8" s="16">
        <v>2</v>
      </c>
      <c r="D8" s="38" t="s">
        <v>56</v>
      </c>
      <c r="E8" s="31"/>
      <c r="F8" s="39"/>
      <c r="G8" s="26" t="str">
        <f>IF(round2&lt;&gt;"",round2,"")</f>
        <v>Kür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 t="s">
        <v>57</v>
      </c>
      <c r="C9" s="16">
        <v>3</v>
      </c>
      <c r="D9" s="17" t="s">
        <v>53</v>
      </c>
      <c r="E9" s="31"/>
      <c r="F9" s="16" t="s">
        <v>54</v>
      </c>
      <c r="G9" s="26" t="str">
        <f>IF(round3&lt;&gt;"",round3,"")</f>
        <v>Grund 2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 t="s">
        <v>57</v>
      </c>
      <c r="C10" s="35">
        <v>4</v>
      </c>
      <c r="D10" s="36"/>
      <c r="E10" s="37"/>
      <c r="F10" s="35"/>
      <c r="G10" s="29" t="str">
        <f>IF(round4&lt;&gt;"",round4,"")</f>
        <v>Kür 2</v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  <row r="11" spans="1:15" ht="16.5" thickBot="1" x14ac:dyDescent="0.3">
      <c r="A11" s="21">
        <f>_xlfn.FLOOR.MATH(RANK(N11,$N$7:$N$129)/4+1+SUMPRODUCT(--($N$7:$N$129=N11),--(O11&lt;$O$7:$O$129))/4)</f>
        <v>1</v>
      </c>
      <c r="B11" s="32" t="s">
        <v>59</v>
      </c>
      <c r="C11" s="32">
        <v>1</v>
      </c>
      <c r="D11" s="33"/>
      <c r="E11" s="34"/>
      <c r="F11" s="32"/>
      <c r="G11" s="27" t="str">
        <f>IF(round1&lt;&gt;"",round1,"")</f>
        <v>Grund</v>
      </c>
      <c r="H11" s="12"/>
      <c r="I11" s="12"/>
      <c r="J11" s="12"/>
      <c r="K11" s="12"/>
      <c r="L11" s="28">
        <f>IF(COUNTBLANK(H11:K11)=0,ROUND(AVERAGE(H11:K11),3),0)</f>
        <v>0</v>
      </c>
      <c r="M11" s="53">
        <f>IF(COUNTBLANK(H11:K11)=0,1,0)</f>
        <v>0</v>
      </c>
      <c r="N11" s="53">
        <f>SUM(M11:M14)</f>
        <v>0</v>
      </c>
      <c r="O11" s="18">
        <f>IF(OR(L11:L14),ROUND(AVERAGEIF(L11:L14,"&gt;0"),3),0)</f>
        <v>0</v>
      </c>
    </row>
    <row r="12" spans="1:15" ht="16.5" thickBot="1" x14ac:dyDescent="0.3">
      <c r="A12" s="56">
        <f>_xlfn.FLOOR.MATH(RANK(N12,$N$7:$N$129)/4+1+SUMPRODUCT(--($N$7:$N$129=N12),--(O12&lt;$O$7:$O$129))/4)</f>
        <v>1</v>
      </c>
      <c r="B12" s="16" t="s">
        <v>59</v>
      </c>
      <c r="C12" s="16">
        <v>2</v>
      </c>
      <c r="D12" s="38" t="s">
        <v>58</v>
      </c>
      <c r="E12" s="31"/>
      <c r="F12" s="39"/>
      <c r="G12" s="26" t="str">
        <f>IF(round2&lt;&gt;"",round2,"")</f>
        <v>Kür</v>
      </c>
      <c r="H12" s="24"/>
      <c r="I12" s="24"/>
      <c r="J12" s="24"/>
      <c r="K12" s="24"/>
      <c r="L12" s="25">
        <f>IF(COUNTBLANK(H12:K12)=0,ROUND(AVERAGE(H12:K12),3),0)</f>
        <v>0</v>
      </c>
      <c r="M12" s="53">
        <f>IF(COUNTBLANK(H12:K12)=0,1,0)</f>
        <v>0</v>
      </c>
      <c r="N12" s="54">
        <f>SUM(M11:M14)</f>
        <v>0</v>
      </c>
      <c r="O12" s="13">
        <f>IF(OR(L11:L14),ROUND(AVERAGEIF(L11:L14,"&gt;0"),3),0)</f>
        <v>0</v>
      </c>
    </row>
    <row r="13" spans="1:15" ht="16.5" thickBot="1" x14ac:dyDescent="0.3">
      <c r="A13" s="22">
        <f>_xlfn.FLOOR.MATH(RANK(N13,$N$7:$N$129)/4+1+SUMPRODUCT(--($N$7:$N$129=N13),--(O13&lt;$O$7:$O$129))/4)</f>
        <v>1</v>
      </c>
      <c r="B13" s="16" t="s">
        <v>59</v>
      </c>
      <c r="C13" s="16">
        <v>3</v>
      </c>
      <c r="D13" s="17" t="s">
        <v>53</v>
      </c>
      <c r="E13" s="31"/>
      <c r="F13" s="16" t="s">
        <v>54</v>
      </c>
      <c r="G13" s="26" t="str">
        <f>IF(round3&lt;&gt;"",round3,"")</f>
        <v>Grund 2</v>
      </c>
      <c r="H13" s="24"/>
      <c r="I13" s="24"/>
      <c r="J13" s="24"/>
      <c r="K13" s="24"/>
      <c r="L13" s="25">
        <f>IF(COUNTBLANK(H13:K13)=0,ROUND(AVERAGE(H13:K13),3),0)</f>
        <v>0</v>
      </c>
      <c r="M13" s="53">
        <f>IF(COUNTBLANK(H13:K13)=0,1,0)</f>
        <v>0</v>
      </c>
      <c r="N13" s="54">
        <f>SUM(M11:M14)</f>
        <v>0</v>
      </c>
      <c r="O13" s="19">
        <f>IF(OR(L11:L14),ROUND(AVERAGEIF(L11:L14,"&gt;0"),3),0)</f>
        <v>0</v>
      </c>
    </row>
    <row r="14" spans="1:15" ht="16.5" thickBot="1" x14ac:dyDescent="0.3">
      <c r="A14" s="23">
        <f>_xlfn.FLOOR.MATH(RANK(N14,$N$7:$N$129)/4+1+SUMPRODUCT(--($N$7:$N$129=N14),--(O14&lt;$O$7:$O$129))/4)</f>
        <v>1</v>
      </c>
      <c r="B14" s="35" t="s">
        <v>59</v>
      </c>
      <c r="C14" s="35">
        <v>4</v>
      </c>
      <c r="D14" s="36"/>
      <c r="E14" s="37"/>
      <c r="F14" s="35"/>
      <c r="G14" s="29" t="str">
        <f>IF(round4&lt;&gt;"",round4,"")</f>
        <v>Kür 2</v>
      </c>
      <c r="H14" s="14"/>
      <c r="I14" s="14"/>
      <c r="J14" s="14"/>
      <c r="K14" s="14"/>
      <c r="L14" s="30">
        <f>IF(COUNTBLANK(H14:K14)=0,ROUND(AVERAGE(H14:K14),3),0)</f>
        <v>0</v>
      </c>
      <c r="M14" s="53">
        <f>IF(COUNTBLANK(H14:K14)=0,1,0)</f>
        <v>0</v>
      </c>
      <c r="N14" s="55">
        <f>SUM(M11:M14)</f>
        <v>0</v>
      </c>
      <c r="O14" s="20">
        <f>IF(OR(L11:L14),ROUND(AVERAGEIF(L11:L14,"&gt;0"),3),0)</f>
        <v>0</v>
      </c>
    </row>
    <row r="15" spans="1:15" ht="16.5" thickBot="1" x14ac:dyDescent="0.3">
      <c r="A15" s="21">
        <f>_xlfn.FLOOR.MATH(RANK(N15,$N$7:$N$129)/4+1+SUMPRODUCT(--($N$7:$N$129=N15),--(O15&lt;$O$7:$O$129))/4)</f>
        <v>1</v>
      </c>
      <c r="B15" s="32" t="s">
        <v>67</v>
      </c>
      <c r="C15" s="32">
        <v>1</v>
      </c>
      <c r="D15" s="33"/>
      <c r="E15" s="34"/>
      <c r="F15" s="32"/>
      <c r="G15" s="27" t="str">
        <f>IF(round1&lt;&gt;"",round1,"")</f>
        <v>Grund</v>
      </c>
      <c r="H15" s="12"/>
      <c r="I15" s="12"/>
      <c r="J15" s="12"/>
      <c r="K15" s="12"/>
      <c r="L15" s="28">
        <f>IF(COUNTBLANK(H15:K15)=0,ROUND(AVERAGE(H15:K15),3),0)</f>
        <v>0</v>
      </c>
      <c r="M15" s="53">
        <f>IF(COUNTBLANK(H15:K15)=0,1,0)</f>
        <v>0</v>
      </c>
      <c r="N15" s="53">
        <f>SUM(M15:M18)</f>
        <v>0</v>
      </c>
      <c r="O15" s="18">
        <f>IF(OR(L15:L18),ROUND(AVERAGEIF(L15:L18,"&gt;0"),3),0)</f>
        <v>0</v>
      </c>
    </row>
    <row r="16" spans="1:15" ht="16.5" thickBot="1" x14ac:dyDescent="0.3">
      <c r="A16" s="56">
        <f>_xlfn.FLOOR.MATH(RANK(N16,$N$7:$N$129)/4+1+SUMPRODUCT(--($N$7:$N$129=N16),--(O16&lt;$O$7:$O$129))/4)</f>
        <v>1</v>
      </c>
      <c r="B16" s="16" t="s">
        <v>67</v>
      </c>
      <c r="C16" s="16">
        <v>2</v>
      </c>
      <c r="D16" s="38" t="s">
        <v>64</v>
      </c>
      <c r="E16" s="31"/>
      <c r="F16" s="39"/>
      <c r="G16" s="26" t="str">
        <f>IF(round2&lt;&gt;"",round2,"")</f>
        <v>Kür</v>
      </c>
      <c r="H16" s="24"/>
      <c r="I16" s="24"/>
      <c r="J16" s="24"/>
      <c r="K16" s="24"/>
      <c r="L16" s="25">
        <f>IF(COUNTBLANK(H16:K16)=0,ROUND(AVERAGE(H16:K16),3),0)</f>
        <v>0</v>
      </c>
      <c r="M16" s="53">
        <f>IF(COUNTBLANK(H16:K16)=0,1,0)</f>
        <v>0</v>
      </c>
      <c r="N16" s="54">
        <f>SUM(M15:M18)</f>
        <v>0</v>
      </c>
      <c r="O16" s="13">
        <f>IF(OR(L15:L18),ROUND(AVERAGEIF(L15:L18,"&gt;0"),3),0)</f>
        <v>0</v>
      </c>
    </row>
    <row r="17" spans="1:15" ht="16.5" thickBot="1" x14ac:dyDescent="0.3">
      <c r="A17" s="22">
        <f>_xlfn.FLOOR.MATH(RANK(N17,$N$7:$N$129)/4+1+SUMPRODUCT(--($N$7:$N$129=N17),--(O17&lt;$O$7:$O$129))/4)</f>
        <v>1</v>
      </c>
      <c r="B17" s="16" t="s">
        <v>67</v>
      </c>
      <c r="C17" s="16">
        <v>3</v>
      </c>
      <c r="D17" s="17" t="s">
        <v>65</v>
      </c>
      <c r="E17" s="31"/>
      <c r="F17" s="16" t="s">
        <v>66</v>
      </c>
      <c r="G17" s="26" t="str">
        <f>IF(round3&lt;&gt;"",round3,"")</f>
        <v>Grund 2</v>
      </c>
      <c r="H17" s="24"/>
      <c r="I17" s="24"/>
      <c r="J17" s="24"/>
      <c r="K17" s="24"/>
      <c r="L17" s="25">
        <f>IF(COUNTBLANK(H17:K17)=0,ROUND(AVERAGE(H17:K17),3),0)</f>
        <v>0</v>
      </c>
      <c r="M17" s="53">
        <f>IF(COUNTBLANK(H17:K17)=0,1,0)</f>
        <v>0</v>
      </c>
      <c r="N17" s="54">
        <f>SUM(M15:M18)</f>
        <v>0</v>
      </c>
      <c r="O17" s="19">
        <f>IF(OR(L15:L18),ROUND(AVERAGEIF(L15:L18,"&gt;0"),3),0)</f>
        <v>0</v>
      </c>
    </row>
    <row r="18" spans="1:15" ht="16.5" thickBot="1" x14ac:dyDescent="0.3">
      <c r="A18" s="23">
        <f>_xlfn.FLOOR.MATH(RANK(N18,$N$7:$N$129)/4+1+SUMPRODUCT(--($N$7:$N$129=N18),--(O18&lt;$O$7:$O$129))/4)</f>
        <v>1</v>
      </c>
      <c r="B18" s="35" t="s">
        <v>67</v>
      </c>
      <c r="C18" s="35">
        <v>4</v>
      </c>
      <c r="D18" s="36"/>
      <c r="E18" s="37"/>
      <c r="F18" s="35"/>
      <c r="G18" s="29" t="str">
        <f>IF(round4&lt;&gt;"",round4,"")</f>
        <v>Kür 2</v>
      </c>
      <c r="H18" s="14"/>
      <c r="I18" s="14"/>
      <c r="J18" s="14"/>
      <c r="K18" s="14"/>
      <c r="L18" s="30">
        <f>IF(COUNTBLANK(H18:K18)=0,ROUND(AVERAGE(H18:K18),3),0)</f>
        <v>0</v>
      </c>
      <c r="M18" s="53">
        <f>IF(COUNTBLANK(H18:K18)=0,1,0)</f>
        <v>0</v>
      </c>
      <c r="N18" s="55">
        <f>SUM(M15:M18)</f>
        <v>0</v>
      </c>
      <c r="O18" s="20">
        <f>IF(OR(L15:L18),ROUND(AVERAGEIF(L15:L18,"&gt;0"),3),0)</f>
        <v>0</v>
      </c>
    </row>
    <row r="19" spans="1:15" ht="16.5" thickBot="1" x14ac:dyDescent="0.3">
      <c r="A19" s="21">
        <f>_xlfn.FLOOR.MATH(RANK(N19,$N$7:$N$129)/4+1+SUMPRODUCT(--($N$7:$N$129=N19),--(O19&lt;$O$7:$O$129))/4)</f>
        <v>1</v>
      </c>
      <c r="B19" s="32" t="s">
        <v>69</v>
      </c>
      <c r="C19" s="32">
        <v>1</v>
      </c>
      <c r="D19" s="33"/>
      <c r="E19" s="34"/>
      <c r="F19" s="32"/>
      <c r="G19" s="27" t="str">
        <f>IF(round1&lt;&gt;"",round1,"")</f>
        <v>Grund</v>
      </c>
      <c r="H19" s="12"/>
      <c r="I19" s="12"/>
      <c r="J19" s="12"/>
      <c r="K19" s="12"/>
      <c r="L19" s="28">
        <f>IF(COUNTBLANK(H19:K19)=0,ROUND(AVERAGE(H19:K19),3),0)</f>
        <v>0</v>
      </c>
      <c r="M19" s="53">
        <f>IF(COUNTBLANK(H19:K19)=0,1,0)</f>
        <v>0</v>
      </c>
      <c r="N19" s="53">
        <f>SUM(M19:M22)</f>
        <v>0</v>
      </c>
      <c r="O19" s="18">
        <f>IF(OR(L19:L22),ROUND(AVERAGEIF(L19:L22,"&gt;0"),3),0)</f>
        <v>0</v>
      </c>
    </row>
    <row r="20" spans="1:15" ht="16.5" thickBot="1" x14ac:dyDescent="0.3">
      <c r="A20" s="56">
        <f>_xlfn.FLOOR.MATH(RANK(N20,$N$7:$N$129)/4+1+SUMPRODUCT(--($N$7:$N$129=N20),--(O20&lt;$O$7:$O$129))/4)</f>
        <v>1</v>
      </c>
      <c r="B20" s="16" t="s">
        <v>69</v>
      </c>
      <c r="C20" s="16">
        <v>2</v>
      </c>
      <c r="D20" s="38" t="s">
        <v>68</v>
      </c>
      <c r="E20" s="31"/>
      <c r="F20" s="39"/>
      <c r="G20" s="26" t="str">
        <f>IF(round2&lt;&gt;"",round2,"")</f>
        <v>Kür</v>
      </c>
      <c r="H20" s="24"/>
      <c r="I20" s="24"/>
      <c r="J20" s="24"/>
      <c r="K20" s="24"/>
      <c r="L20" s="25">
        <f>IF(COUNTBLANK(H20:K20)=0,ROUND(AVERAGE(H20:K20),3),0)</f>
        <v>0</v>
      </c>
      <c r="M20" s="53">
        <f>IF(COUNTBLANK(H20:K20)=0,1,0)</f>
        <v>0</v>
      </c>
      <c r="N20" s="54">
        <f>SUM(M19:M22)</f>
        <v>0</v>
      </c>
      <c r="O20" s="13">
        <f>IF(OR(L19:L22),ROUND(AVERAGEIF(L19:L22,"&gt;0"),3),0)</f>
        <v>0</v>
      </c>
    </row>
    <row r="21" spans="1:15" ht="16.5" thickBot="1" x14ac:dyDescent="0.3">
      <c r="A21" s="22">
        <f>_xlfn.FLOOR.MATH(RANK(N21,$N$7:$N$129)/4+1+SUMPRODUCT(--($N$7:$N$129=N21),--(O21&lt;$O$7:$O$129))/4)</f>
        <v>1</v>
      </c>
      <c r="B21" s="16" t="s">
        <v>69</v>
      </c>
      <c r="C21" s="16">
        <v>3</v>
      </c>
      <c r="D21" s="17" t="s">
        <v>65</v>
      </c>
      <c r="E21" s="31"/>
      <c r="F21" s="16" t="s">
        <v>66</v>
      </c>
      <c r="G21" s="26" t="str">
        <f>IF(round3&lt;&gt;"",round3,"")</f>
        <v>Grund 2</v>
      </c>
      <c r="H21" s="24"/>
      <c r="I21" s="24"/>
      <c r="J21" s="24"/>
      <c r="K21" s="24"/>
      <c r="L21" s="25">
        <f>IF(COUNTBLANK(H21:K21)=0,ROUND(AVERAGE(H21:K21),3),0)</f>
        <v>0</v>
      </c>
      <c r="M21" s="53">
        <f>IF(COUNTBLANK(H21:K21)=0,1,0)</f>
        <v>0</v>
      </c>
      <c r="N21" s="54">
        <f>SUM(M19:M22)</f>
        <v>0</v>
      </c>
      <c r="O21" s="19">
        <f>IF(OR(L19:L22),ROUND(AVERAGEIF(L19:L22,"&gt;0"),3),0)</f>
        <v>0</v>
      </c>
    </row>
    <row r="22" spans="1:15" ht="16.5" thickBot="1" x14ac:dyDescent="0.3">
      <c r="A22" s="23">
        <f>_xlfn.FLOOR.MATH(RANK(N22,$N$7:$N$129)/4+1+SUMPRODUCT(--($N$7:$N$129=N22),--(O22&lt;$O$7:$O$129))/4)</f>
        <v>1</v>
      </c>
      <c r="B22" s="35" t="s">
        <v>69</v>
      </c>
      <c r="C22" s="35">
        <v>4</v>
      </c>
      <c r="D22" s="36"/>
      <c r="E22" s="37"/>
      <c r="F22" s="35"/>
      <c r="G22" s="29" t="str">
        <f>IF(round4&lt;&gt;"",round4,"")</f>
        <v>Kür 2</v>
      </c>
      <c r="H22" s="14"/>
      <c r="I22" s="14"/>
      <c r="J22" s="14"/>
      <c r="K22" s="14"/>
      <c r="L22" s="30">
        <f>IF(COUNTBLANK(H22:K22)=0,ROUND(AVERAGE(H22:K22),3),0)</f>
        <v>0</v>
      </c>
      <c r="M22" s="53">
        <f>IF(COUNTBLANK(H22:K22)=0,1,0)</f>
        <v>0</v>
      </c>
      <c r="N22" s="55">
        <f>SUM(M19:M22)</f>
        <v>0</v>
      </c>
      <c r="O22" s="20">
        <f>IF(OR(L19:L22),ROUND(AVERAGEIF(L19:L22,"&gt;0"),3),0)</f>
        <v>0</v>
      </c>
    </row>
    <row r="23" spans="1:15" ht="16.5" thickBot="1" x14ac:dyDescent="0.3">
      <c r="A23" s="21">
        <f>_xlfn.FLOOR.MATH(RANK(N23,$N$7:$N$129)/4+1+SUMPRODUCT(--($N$7:$N$129=N23),--(O23&lt;$O$7:$O$129))/4)</f>
        <v>1</v>
      </c>
      <c r="B23" s="32" t="s">
        <v>71</v>
      </c>
      <c r="C23" s="32">
        <v>1</v>
      </c>
      <c r="D23" s="33"/>
      <c r="E23" s="34"/>
      <c r="F23" s="32"/>
      <c r="G23" s="27" t="str">
        <f>IF(round1&lt;&gt;"",round1,"")</f>
        <v>Grund</v>
      </c>
      <c r="H23" s="12"/>
      <c r="I23" s="12"/>
      <c r="J23" s="12"/>
      <c r="K23" s="12"/>
      <c r="L23" s="28">
        <f>IF(COUNTBLANK(H23:K23)=0,ROUND(AVERAGE(H23:K23),3),0)</f>
        <v>0</v>
      </c>
      <c r="M23" s="53">
        <f>IF(COUNTBLANK(H23:K23)=0,1,0)</f>
        <v>0</v>
      </c>
      <c r="N23" s="53">
        <f>SUM(M23:M26)</f>
        <v>0</v>
      </c>
      <c r="O23" s="18">
        <f>IF(OR(L23:L26),ROUND(AVERAGEIF(L23:L26,"&gt;0"),3),0)</f>
        <v>0</v>
      </c>
    </row>
    <row r="24" spans="1:15" ht="16.5" thickBot="1" x14ac:dyDescent="0.3">
      <c r="A24" s="56">
        <f>_xlfn.FLOOR.MATH(RANK(N24,$N$7:$N$129)/4+1+SUMPRODUCT(--($N$7:$N$129=N24),--(O24&lt;$O$7:$O$129))/4)</f>
        <v>1</v>
      </c>
      <c r="B24" s="16" t="s">
        <v>71</v>
      </c>
      <c r="C24" s="16">
        <v>2</v>
      </c>
      <c r="D24" s="38" t="s">
        <v>70</v>
      </c>
      <c r="E24" s="31"/>
      <c r="F24" s="39"/>
      <c r="G24" s="26" t="str">
        <f>IF(round2&lt;&gt;"",round2,"")</f>
        <v>Kür</v>
      </c>
      <c r="H24" s="24"/>
      <c r="I24" s="24"/>
      <c r="J24" s="24"/>
      <c r="K24" s="24"/>
      <c r="L24" s="25">
        <f>IF(COUNTBLANK(H24:K24)=0,ROUND(AVERAGE(H24:K24),3),0)</f>
        <v>0</v>
      </c>
      <c r="M24" s="53">
        <f>IF(COUNTBLANK(H24:K24)=0,1,0)</f>
        <v>0</v>
      </c>
      <c r="N24" s="54">
        <f>SUM(M23:M26)</f>
        <v>0</v>
      </c>
      <c r="O24" s="13">
        <f>IF(OR(L23:L26),ROUND(AVERAGEIF(L23:L26,"&gt;0"),3),0)</f>
        <v>0</v>
      </c>
    </row>
    <row r="25" spans="1:15" ht="16.5" thickBot="1" x14ac:dyDescent="0.3">
      <c r="A25" s="22">
        <f>_xlfn.FLOOR.MATH(RANK(N25,$N$7:$N$129)/4+1+SUMPRODUCT(--($N$7:$N$129=N25),--(O25&lt;$O$7:$O$129))/4)</f>
        <v>1</v>
      </c>
      <c r="B25" s="16" t="s">
        <v>71</v>
      </c>
      <c r="C25" s="16">
        <v>3</v>
      </c>
      <c r="D25" s="17" t="s">
        <v>65</v>
      </c>
      <c r="E25" s="31"/>
      <c r="F25" s="16" t="s">
        <v>66</v>
      </c>
      <c r="G25" s="26" t="str">
        <f>IF(round3&lt;&gt;"",round3,"")</f>
        <v>Grund 2</v>
      </c>
      <c r="H25" s="24"/>
      <c r="I25" s="24"/>
      <c r="J25" s="24"/>
      <c r="K25" s="24"/>
      <c r="L25" s="25">
        <f>IF(COUNTBLANK(H25:K25)=0,ROUND(AVERAGE(H25:K25),3),0)</f>
        <v>0</v>
      </c>
      <c r="M25" s="53">
        <f>IF(COUNTBLANK(H25:K25)=0,1,0)</f>
        <v>0</v>
      </c>
      <c r="N25" s="54">
        <f>SUM(M23:M26)</f>
        <v>0</v>
      </c>
      <c r="O25" s="19">
        <f>IF(OR(L23:L26),ROUND(AVERAGEIF(L23:L26,"&gt;0"),3),0)</f>
        <v>0</v>
      </c>
    </row>
    <row r="26" spans="1:15" ht="16.5" thickBot="1" x14ac:dyDescent="0.3">
      <c r="A26" s="23">
        <f>_xlfn.FLOOR.MATH(RANK(N26,$N$7:$N$129)/4+1+SUMPRODUCT(--($N$7:$N$129=N26),--(O26&lt;$O$7:$O$129))/4)</f>
        <v>1</v>
      </c>
      <c r="B26" s="35" t="s">
        <v>71</v>
      </c>
      <c r="C26" s="35">
        <v>4</v>
      </c>
      <c r="D26" s="36"/>
      <c r="E26" s="37"/>
      <c r="F26" s="35"/>
      <c r="G26" s="29" t="str">
        <f>IF(round4&lt;&gt;"",round4,"")</f>
        <v>Kür 2</v>
      </c>
      <c r="H26" s="14"/>
      <c r="I26" s="14"/>
      <c r="J26" s="14"/>
      <c r="K26" s="14"/>
      <c r="L26" s="30">
        <f>IF(COUNTBLANK(H26:K26)=0,ROUND(AVERAGE(H26:K26),3),0)</f>
        <v>0</v>
      </c>
      <c r="M26" s="53">
        <f>IF(COUNTBLANK(H26:K26)=0,1,0)</f>
        <v>0</v>
      </c>
      <c r="N26" s="55">
        <f>SUM(M23:M26)</f>
        <v>0</v>
      </c>
      <c r="O26" s="20">
        <f>IF(OR(L23:L26),ROUND(AVERAGEIF(L23:L26,"&gt;0"),3),0)</f>
        <v>0</v>
      </c>
    </row>
    <row r="27" spans="1:15" ht="16.5" thickBot="1" x14ac:dyDescent="0.3">
      <c r="A27" s="21">
        <f>_xlfn.FLOOR.MATH(RANK(N27,$N$7:$N$129)/4+1+SUMPRODUCT(--($N$7:$N$129=N27),--(O27&lt;$O$7:$O$129))/4)</f>
        <v>1</v>
      </c>
      <c r="B27" s="32" t="s">
        <v>75</v>
      </c>
      <c r="C27" s="32">
        <v>1</v>
      </c>
      <c r="D27" s="33"/>
      <c r="E27" s="34"/>
      <c r="F27" s="32"/>
      <c r="G27" s="27" t="str">
        <f>IF(round1&lt;&gt;"",round1,"")</f>
        <v>Grund</v>
      </c>
      <c r="H27" s="12"/>
      <c r="I27" s="12"/>
      <c r="J27" s="12"/>
      <c r="K27" s="12"/>
      <c r="L27" s="28">
        <f>IF(COUNTBLANK(H27:K27)=0,ROUND(AVERAGE(H27:K27),3),0)</f>
        <v>0</v>
      </c>
      <c r="M27" s="53">
        <f>IF(COUNTBLANK(H27:K27)=0,1,0)</f>
        <v>0</v>
      </c>
      <c r="N27" s="53">
        <f>SUM(M27:M30)</f>
        <v>0</v>
      </c>
      <c r="O27" s="18">
        <f>IF(OR(L27:L30),ROUND(AVERAGEIF(L27:L30,"&gt;0"),3),0)</f>
        <v>0</v>
      </c>
    </row>
    <row r="28" spans="1:15" ht="16.5" thickBot="1" x14ac:dyDescent="0.3">
      <c r="A28" s="56">
        <f>_xlfn.FLOOR.MATH(RANK(N28,$N$7:$N$129)/4+1+SUMPRODUCT(--($N$7:$N$129=N28),--(O28&lt;$O$7:$O$129))/4)</f>
        <v>1</v>
      </c>
      <c r="B28" s="16" t="s">
        <v>75</v>
      </c>
      <c r="C28" s="16">
        <v>2</v>
      </c>
      <c r="D28" s="38" t="s">
        <v>72</v>
      </c>
      <c r="E28" s="31"/>
      <c r="F28" s="39"/>
      <c r="G28" s="26" t="str">
        <f>IF(round2&lt;&gt;"",round2,"")</f>
        <v>Kür</v>
      </c>
      <c r="H28" s="24"/>
      <c r="I28" s="24"/>
      <c r="J28" s="24"/>
      <c r="K28" s="24"/>
      <c r="L28" s="25">
        <f>IF(COUNTBLANK(H28:K28)=0,ROUND(AVERAGE(H28:K28),3),0)</f>
        <v>0</v>
      </c>
      <c r="M28" s="53">
        <f>IF(COUNTBLANK(H28:K28)=0,1,0)</f>
        <v>0</v>
      </c>
      <c r="N28" s="54">
        <f>SUM(M27:M30)</f>
        <v>0</v>
      </c>
      <c r="O28" s="13">
        <f>IF(OR(L27:L30),ROUND(AVERAGEIF(L27:L30,"&gt;0"),3),0)</f>
        <v>0</v>
      </c>
    </row>
    <row r="29" spans="1:15" ht="16.5" thickBot="1" x14ac:dyDescent="0.3">
      <c r="A29" s="22">
        <f>_xlfn.FLOOR.MATH(RANK(N29,$N$7:$N$129)/4+1+SUMPRODUCT(--($N$7:$N$129=N29),--(O29&lt;$O$7:$O$129))/4)</f>
        <v>1</v>
      </c>
      <c r="B29" s="16" t="s">
        <v>75</v>
      </c>
      <c r="C29" s="16">
        <v>3</v>
      </c>
      <c r="D29" s="17" t="s">
        <v>73</v>
      </c>
      <c r="E29" s="31"/>
      <c r="F29" s="16" t="s">
        <v>74</v>
      </c>
      <c r="G29" s="26" t="str">
        <f>IF(round3&lt;&gt;"",round3,"")</f>
        <v>Grund 2</v>
      </c>
      <c r="H29" s="24"/>
      <c r="I29" s="24"/>
      <c r="J29" s="24"/>
      <c r="K29" s="24"/>
      <c r="L29" s="25">
        <f>IF(COUNTBLANK(H29:K29)=0,ROUND(AVERAGE(H29:K29),3),0)</f>
        <v>0</v>
      </c>
      <c r="M29" s="53">
        <f>IF(COUNTBLANK(H29:K29)=0,1,0)</f>
        <v>0</v>
      </c>
      <c r="N29" s="54">
        <f>SUM(M27:M30)</f>
        <v>0</v>
      </c>
      <c r="O29" s="19">
        <f>IF(OR(L27:L30),ROUND(AVERAGEIF(L27:L30,"&gt;0"),3),0)</f>
        <v>0</v>
      </c>
    </row>
    <row r="30" spans="1:15" ht="16.5" thickBot="1" x14ac:dyDescent="0.3">
      <c r="A30" s="23">
        <f>_xlfn.FLOOR.MATH(RANK(N30,$N$7:$N$129)/4+1+SUMPRODUCT(--($N$7:$N$129=N30),--(O30&lt;$O$7:$O$129))/4)</f>
        <v>1</v>
      </c>
      <c r="B30" s="35" t="s">
        <v>75</v>
      </c>
      <c r="C30" s="35">
        <v>4</v>
      </c>
      <c r="D30" s="36"/>
      <c r="E30" s="37"/>
      <c r="F30" s="35"/>
      <c r="G30" s="29" t="str">
        <f>IF(round4&lt;&gt;"",round4,"")</f>
        <v>Kür 2</v>
      </c>
      <c r="H30" s="14"/>
      <c r="I30" s="14"/>
      <c r="J30" s="14"/>
      <c r="K30" s="14"/>
      <c r="L30" s="30">
        <f>IF(COUNTBLANK(H30:K30)=0,ROUND(AVERAGE(H30:K30),3),0)</f>
        <v>0</v>
      </c>
      <c r="M30" s="53">
        <f>IF(COUNTBLANK(H30:K30)=0,1,0)</f>
        <v>0</v>
      </c>
      <c r="N30" s="55">
        <f>SUM(M27:M30)</f>
        <v>0</v>
      </c>
      <c r="O30" s="20">
        <f>IF(OR(L27:L30),ROUND(AVERAGEIF(L27:L30,"&gt;0"),3),0)</f>
        <v>0</v>
      </c>
    </row>
    <row r="31" spans="1:15" ht="16.5" thickBot="1" x14ac:dyDescent="0.3">
      <c r="A31" s="21">
        <f>_xlfn.FLOOR.MATH(RANK(N31,$N$7:$N$129)/4+1+SUMPRODUCT(--($N$7:$N$129=N31),--(O31&lt;$O$7:$O$129))/4)</f>
        <v>1</v>
      </c>
      <c r="B31" s="32" t="s">
        <v>81</v>
      </c>
      <c r="C31" s="32">
        <v>1</v>
      </c>
      <c r="D31" s="33"/>
      <c r="E31" s="34"/>
      <c r="F31" s="32"/>
      <c r="G31" s="27" t="str">
        <f>IF(round1&lt;&gt;"",round1,"")</f>
        <v>Grund</v>
      </c>
      <c r="H31" s="12"/>
      <c r="I31" s="12"/>
      <c r="J31" s="12"/>
      <c r="K31" s="12"/>
      <c r="L31" s="28">
        <f>IF(COUNTBLANK(H31:K31)=0,ROUND(AVERAGE(H31:K31),3),0)</f>
        <v>0</v>
      </c>
      <c r="M31" s="53">
        <f>IF(COUNTBLANK(H31:K31)=0,1,0)</f>
        <v>0</v>
      </c>
      <c r="N31" s="53">
        <f>SUM(M31:M34)</f>
        <v>0</v>
      </c>
      <c r="O31" s="18">
        <f>IF(OR(L31:L34),ROUND(AVERAGEIF(L31:L34,"&gt;0"),3),0)</f>
        <v>0</v>
      </c>
    </row>
    <row r="32" spans="1:15" ht="16.5" thickBot="1" x14ac:dyDescent="0.3">
      <c r="A32" s="56">
        <f>_xlfn.FLOOR.MATH(RANK(N32,$N$7:$N$129)/4+1+SUMPRODUCT(--($N$7:$N$129=N32),--(O32&lt;$O$7:$O$129))/4)</f>
        <v>1</v>
      </c>
      <c r="B32" s="16" t="s">
        <v>81</v>
      </c>
      <c r="C32" s="16">
        <v>2</v>
      </c>
      <c r="D32" s="38" t="s">
        <v>78</v>
      </c>
      <c r="E32" s="31"/>
      <c r="F32" s="39"/>
      <c r="G32" s="26" t="str">
        <f>IF(round2&lt;&gt;"",round2,"")</f>
        <v>Kür</v>
      </c>
      <c r="H32" s="24"/>
      <c r="I32" s="24"/>
      <c r="J32" s="24"/>
      <c r="K32" s="24"/>
      <c r="L32" s="25">
        <f>IF(COUNTBLANK(H32:K32)=0,ROUND(AVERAGE(H32:K32),3),0)</f>
        <v>0</v>
      </c>
      <c r="M32" s="53">
        <f>IF(COUNTBLANK(H32:K32)=0,1,0)</f>
        <v>0</v>
      </c>
      <c r="N32" s="54">
        <f>SUM(M31:M34)</f>
        <v>0</v>
      </c>
      <c r="O32" s="13">
        <f>IF(OR(L31:L34),ROUND(AVERAGEIF(L31:L34,"&gt;0"),3),0)</f>
        <v>0</v>
      </c>
    </row>
    <row r="33" spans="1:15" ht="16.5" thickBot="1" x14ac:dyDescent="0.3">
      <c r="A33" s="22">
        <f>_xlfn.FLOOR.MATH(RANK(N33,$N$7:$N$129)/4+1+SUMPRODUCT(--($N$7:$N$129=N33),--(O33&lt;$O$7:$O$129))/4)</f>
        <v>1</v>
      </c>
      <c r="B33" s="16" t="s">
        <v>81</v>
      </c>
      <c r="C33" s="16">
        <v>3</v>
      </c>
      <c r="D33" s="17" t="s">
        <v>79</v>
      </c>
      <c r="E33" s="31"/>
      <c r="F33" s="16" t="s">
        <v>80</v>
      </c>
      <c r="G33" s="26" t="str">
        <f>IF(round3&lt;&gt;"",round3,"")</f>
        <v>Grund 2</v>
      </c>
      <c r="H33" s="24"/>
      <c r="I33" s="24"/>
      <c r="J33" s="24"/>
      <c r="K33" s="24"/>
      <c r="L33" s="25">
        <f>IF(COUNTBLANK(H33:K33)=0,ROUND(AVERAGE(H33:K33),3),0)</f>
        <v>0</v>
      </c>
      <c r="M33" s="53">
        <f>IF(COUNTBLANK(H33:K33)=0,1,0)</f>
        <v>0</v>
      </c>
      <c r="N33" s="54">
        <f>SUM(M31:M34)</f>
        <v>0</v>
      </c>
      <c r="O33" s="19">
        <f>IF(OR(L31:L34),ROUND(AVERAGEIF(L31:L34,"&gt;0"),3),0)</f>
        <v>0</v>
      </c>
    </row>
    <row r="34" spans="1:15" ht="16.5" thickBot="1" x14ac:dyDescent="0.3">
      <c r="A34" s="23">
        <f>_xlfn.FLOOR.MATH(RANK(N34,$N$7:$N$129)/4+1+SUMPRODUCT(--($N$7:$N$129=N34),--(O34&lt;$O$7:$O$129))/4)</f>
        <v>1</v>
      </c>
      <c r="B34" s="35" t="s">
        <v>81</v>
      </c>
      <c r="C34" s="35">
        <v>4</v>
      </c>
      <c r="D34" s="36"/>
      <c r="E34" s="37"/>
      <c r="F34" s="35"/>
      <c r="G34" s="29" t="str">
        <f>IF(round4&lt;&gt;"",round4,"")</f>
        <v>Kür 2</v>
      </c>
      <c r="H34" s="14"/>
      <c r="I34" s="14"/>
      <c r="J34" s="14"/>
      <c r="K34" s="14"/>
      <c r="L34" s="30">
        <f>IF(COUNTBLANK(H34:K34)=0,ROUND(AVERAGE(H34:K34),3),0)</f>
        <v>0</v>
      </c>
      <c r="M34" s="53">
        <f>IF(COUNTBLANK(H34:K34)=0,1,0)</f>
        <v>0</v>
      </c>
      <c r="N34" s="55">
        <f>SUM(M31:M34)</f>
        <v>0</v>
      </c>
      <c r="O34" s="20">
        <f>IF(OR(L31:L34),ROUND(AVERAGEIF(L31:L34,"&gt;0"),3),0)</f>
        <v>0</v>
      </c>
    </row>
    <row r="35" spans="1:15" ht="16.5" thickBot="1" x14ac:dyDescent="0.3">
      <c r="A35" s="21">
        <f>_xlfn.FLOOR.MATH(RANK(N35,$N$7:$N$129)/4+1+SUMPRODUCT(--($N$7:$N$129=N35),--(O35&lt;$O$7:$O$129))/4)</f>
        <v>1</v>
      </c>
      <c r="B35" s="32" t="s">
        <v>88</v>
      </c>
      <c r="C35" s="32">
        <v>1</v>
      </c>
      <c r="D35" s="33"/>
      <c r="E35" s="34"/>
      <c r="F35" s="32"/>
      <c r="G35" s="27" t="str">
        <f>IF(round1&lt;&gt;"",round1,"")</f>
        <v>Grund</v>
      </c>
      <c r="H35" s="12"/>
      <c r="I35" s="12"/>
      <c r="J35" s="12"/>
      <c r="K35" s="12"/>
      <c r="L35" s="28">
        <f>IF(COUNTBLANK(H35:K35)=0,ROUND(AVERAGE(H35:K35),3),0)</f>
        <v>0</v>
      </c>
      <c r="M35" s="53">
        <f>IF(COUNTBLANK(H35:K35)=0,1,0)</f>
        <v>0</v>
      </c>
      <c r="N35" s="53">
        <f>SUM(M35:M38)</f>
        <v>0</v>
      </c>
      <c r="O35" s="18">
        <f>IF(OR(L35:L38),ROUND(AVERAGEIF(L35:L38,"&gt;0"),3),0)</f>
        <v>0</v>
      </c>
    </row>
    <row r="36" spans="1:15" ht="16.5" thickBot="1" x14ac:dyDescent="0.3">
      <c r="A36" s="56">
        <f>_xlfn.FLOOR.MATH(RANK(N36,$N$7:$N$129)/4+1+SUMPRODUCT(--($N$7:$N$129=N36),--(O36&lt;$O$7:$O$129))/4)</f>
        <v>1</v>
      </c>
      <c r="B36" s="16" t="s">
        <v>88</v>
      </c>
      <c r="C36" s="16">
        <v>2</v>
      </c>
      <c r="D36" s="38" t="s">
        <v>85</v>
      </c>
      <c r="E36" s="31"/>
      <c r="F36" s="39"/>
      <c r="G36" s="26" t="str">
        <f>IF(round2&lt;&gt;"",round2,"")</f>
        <v>Kür</v>
      </c>
      <c r="H36" s="24"/>
      <c r="I36" s="24"/>
      <c r="J36" s="24"/>
      <c r="K36" s="24"/>
      <c r="L36" s="25">
        <f>IF(COUNTBLANK(H36:K36)=0,ROUND(AVERAGE(H36:K36),3),0)</f>
        <v>0</v>
      </c>
      <c r="M36" s="53">
        <f>IF(COUNTBLANK(H36:K36)=0,1,0)</f>
        <v>0</v>
      </c>
      <c r="N36" s="54">
        <f>SUM(M35:M38)</f>
        <v>0</v>
      </c>
      <c r="O36" s="13">
        <f>IF(OR(L35:L38),ROUND(AVERAGEIF(L35:L38,"&gt;0"),3),0)</f>
        <v>0</v>
      </c>
    </row>
    <row r="37" spans="1:15" ht="16.5" thickBot="1" x14ac:dyDescent="0.3">
      <c r="A37" s="22">
        <f>_xlfn.FLOOR.MATH(RANK(N37,$N$7:$N$129)/4+1+SUMPRODUCT(--($N$7:$N$129=N37),--(O37&lt;$O$7:$O$129))/4)</f>
        <v>1</v>
      </c>
      <c r="B37" s="16" t="s">
        <v>88</v>
      </c>
      <c r="C37" s="16">
        <v>3</v>
      </c>
      <c r="D37" s="17" t="s">
        <v>86</v>
      </c>
      <c r="E37" s="31"/>
      <c r="F37" s="16" t="s">
        <v>87</v>
      </c>
      <c r="G37" s="26" t="str">
        <f>IF(round3&lt;&gt;"",round3,"")</f>
        <v>Grund 2</v>
      </c>
      <c r="H37" s="24"/>
      <c r="I37" s="24"/>
      <c r="J37" s="24"/>
      <c r="K37" s="24"/>
      <c r="L37" s="25">
        <f>IF(COUNTBLANK(H37:K37)=0,ROUND(AVERAGE(H37:K37),3),0)</f>
        <v>0</v>
      </c>
      <c r="M37" s="53">
        <f>IF(COUNTBLANK(H37:K37)=0,1,0)</f>
        <v>0</v>
      </c>
      <c r="N37" s="54">
        <f>SUM(M35:M38)</f>
        <v>0</v>
      </c>
      <c r="O37" s="19">
        <f>IF(OR(L35:L38),ROUND(AVERAGEIF(L35:L38,"&gt;0"),3),0)</f>
        <v>0</v>
      </c>
    </row>
    <row r="38" spans="1:15" ht="16.5" thickBot="1" x14ac:dyDescent="0.3">
      <c r="A38" s="23">
        <f>_xlfn.FLOOR.MATH(RANK(N38,$N$7:$N$129)/4+1+SUMPRODUCT(--($N$7:$N$129=N38),--(O38&lt;$O$7:$O$129))/4)</f>
        <v>1</v>
      </c>
      <c r="B38" s="35" t="s">
        <v>88</v>
      </c>
      <c r="C38" s="35">
        <v>4</v>
      </c>
      <c r="D38" s="36"/>
      <c r="E38" s="37"/>
      <c r="F38" s="35"/>
      <c r="G38" s="29" t="str">
        <f>IF(round4&lt;&gt;"",round4,"")</f>
        <v>Kür 2</v>
      </c>
      <c r="H38" s="14"/>
      <c r="I38" s="14"/>
      <c r="J38" s="14"/>
      <c r="K38" s="14"/>
      <c r="L38" s="30">
        <f>IF(COUNTBLANK(H38:K38)=0,ROUND(AVERAGE(H38:K38),3),0)</f>
        <v>0</v>
      </c>
      <c r="M38" s="53">
        <f>IF(COUNTBLANK(H38:K38)=0,1,0)</f>
        <v>0</v>
      </c>
      <c r="N38" s="55">
        <f>SUM(M35:M38)</f>
        <v>0</v>
      </c>
      <c r="O38" s="20">
        <f>IF(OR(L35:L38),ROUND(AVERAGEIF(L35:L38,"&gt;0"),3),0)</f>
        <v>0</v>
      </c>
    </row>
    <row r="39" spans="1:15" ht="16.5" thickBot="1" x14ac:dyDescent="0.3">
      <c r="A39" s="21">
        <f>_xlfn.FLOOR.MATH(RANK(N39,$N$7:$N$129)/4+1+SUMPRODUCT(--($N$7:$N$129=N39),--(O39&lt;$O$7:$O$129))/4)</f>
        <v>1</v>
      </c>
      <c r="B39" s="32" t="s">
        <v>90</v>
      </c>
      <c r="C39" s="32">
        <v>1</v>
      </c>
      <c r="D39" s="33"/>
      <c r="E39" s="34"/>
      <c r="F39" s="32"/>
      <c r="G39" s="27" t="str">
        <f>IF(round1&lt;&gt;"",round1,"")</f>
        <v>Grund</v>
      </c>
      <c r="H39" s="12"/>
      <c r="I39" s="12"/>
      <c r="J39" s="12"/>
      <c r="K39" s="12"/>
      <c r="L39" s="28">
        <f>IF(COUNTBLANK(H39:K39)=0,ROUND(AVERAGE(H39:K39),3),0)</f>
        <v>0</v>
      </c>
      <c r="M39" s="53">
        <f>IF(COUNTBLANK(H39:K39)=0,1,0)</f>
        <v>0</v>
      </c>
      <c r="N39" s="53">
        <f>SUM(M39:M42)</f>
        <v>0</v>
      </c>
      <c r="O39" s="18">
        <f>IF(OR(L39:L42),ROUND(AVERAGEIF(L39:L42,"&gt;0"),3),0)</f>
        <v>0</v>
      </c>
    </row>
    <row r="40" spans="1:15" ht="16.5" thickBot="1" x14ac:dyDescent="0.3">
      <c r="A40" s="56">
        <f>_xlfn.FLOOR.MATH(RANK(N40,$N$7:$N$129)/4+1+SUMPRODUCT(--($N$7:$N$129=N40),--(O40&lt;$O$7:$O$129))/4)</f>
        <v>1</v>
      </c>
      <c r="B40" s="16" t="s">
        <v>90</v>
      </c>
      <c r="C40" s="16">
        <v>2</v>
      </c>
      <c r="D40" s="38" t="s">
        <v>89</v>
      </c>
      <c r="E40" s="31"/>
      <c r="F40" s="39"/>
      <c r="G40" s="26" t="str">
        <f>IF(round2&lt;&gt;"",round2,"")</f>
        <v>Kür</v>
      </c>
      <c r="H40" s="24"/>
      <c r="I40" s="24"/>
      <c r="J40" s="24"/>
      <c r="K40" s="24"/>
      <c r="L40" s="25">
        <f>IF(COUNTBLANK(H40:K40)=0,ROUND(AVERAGE(H40:K40),3),0)</f>
        <v>0</v>
      </c>
      <c r="M40" s="53">
        <f>IF(COUNTBLANK(H40:K40)=0,1,0)</f>
        <v>0</v>
      </c>
      <c r="N40" s="54">
        <f>SUM(M39:M42)</f>
        <v>0</v>
      </c>
      <c r="O40" s="13">
        <f>IF(OR(L39:L42),ROUND(AVERAGEIF(L39:L42,"&gt;0"),3),0)</f>
        <v>0</v>
      </c>
    </row>
    <row r="41" spans="1:15" ht="16.5" thickBot="1" x14ac:dyDescent="0.3">
      <c r="A41" s="22">
        <f>_xlfn.FLOOR.MATH(RANK(N41,$N$7:$N$129)/4+1+SUMPRODUCT(--($N$7:$N$129=N41),--(O41&lt;$O$7:$O$129))/4)</f>
        <v>1</v>
      </c>
      <c r="B41" s="16" t="s">
        <v>90</v>
      </c>
      <c r="C41" s="16">
        <v>3</v>
      </c>
      <c r="D41" s="17" t="s">
        <v>86</v>
      </c>
      <c r="E41" s="31"/>
      <c r="F41" s="16" t="s">
        <v>87</v>
      </c>
      <c r="G41" s="26" t="str">
        <f>IF(round3&lt;&gt;"",round3,"")</f>
        <v>Grund 2</v>
      </c>
      <c r="H41" s="24"/>
      <c r="I41" s="24"/>
      <c r="J41" s="24"/>
      <c r="K41" s="24"/>
      <c r="L41" s="25">
        <f>IF(COUNTBLANK(H41:K41)=0,ROUND(AVERAGE(H41:K41),3),0)</f>
        <v>0</v>
      </c>
      <c r="M41" s="53">
        <f>IF(COUNTBLANK(H41:K41)=0,1,0)</f>
        <v>0</v>
      </c>
      <c r="N41" s="54">
        <f>SUM(M39:M42)</f>
        <v>0</v>
      </c>
      <c r="O41" s="19">
        <f>IF(OR(L39:L42),ROUND(AVERAGEIF(L39:L42,"&gt;0"),3),0)</f>
        <v>0</v>
      </c>
    </row>
    <row r="42" spans="1:15" ht="16.5" thickBot="1" x14ac:dyDescent="0.3">
      <c r="A42" s="23">
        <f>_xlfn.FLOOR.MATH(RANK(N42,$N$7:$N$129)/4+1+SUMPRODUCT(--($N$7:$N$129=N42),--(O42&lt;$O$7:$O$129))/4)</f>
        <v>1</v>
      </c>
      <c r="B42" s="35" t="s">
        <v>90</v>
      </c>
      <c r="C42" s="35">
        <v>4</v>
      </c>
      <c r="D42" s="36"/>
      <c r="E42" s="37"/>
      <c r="F42" s="35"/>
      <c r="G42" s="29" t="str">
        <f>IF(round4&lt;&gt;"",round4,"")</f>
        <v>Kür 2</v>
      </c>
      <c r="H42" s="14"/>
      <c r="I42" s="14"/>
      <c r="J42" s="14"/>
      <c r="K42" s="14"/>
      <c r="L42" s="30">
        <f>IF(COUNTBLANK(H42:K42)=0,ROUND(AVERAGE(H42:K42),3),0)</f>
        <v>0</v>
      </c>
      <c r="M42" s="53">
        <f>IF(COUNTBLANK(H42:K42)=0,1,0)</f>
        <v>0</v>
      </c>
      <c r="N42" s="55">
        <f>SUM(M39:M42)</f>
        <v>0</v>
      </c>
      <c r="O42" s="20">
        <f>IF(OR(L39:L42),ROUND(AVERAGEIF(L39:L42,"&gt;0"),3),0)</f>
        <v>0</v>
      </c>
    </row>
  </sheetData>
  <sortState ref="A7:O42">
    <sortCondition ref="A7"/>
  </sortState>
  <conditionalFormatting sqref="H7:K7">
    <cfRule type="expression" priority="71" stopIfTrue="1">
      <formula>COUNTBLANK($G$7)=1</formula>
    </cfRule>
    <cfRule type="containsBlanks" dxfId="67" priority="72">
      <formula>LEN(TRIM(H7))=0</formula>
    </cfRule>
  </conditionalFormatting>
  <conditionalFormatting sqref="H8:K8">
    <cfRule type="expression" priority="69" stopIfTrue="1">
      <formula>COUNTBLANK($G$8)=1</formula>
    </cfRule>
    <cfRule type="containsBlanks" dxfId="66" priority="70">
      <formula>LEN(TRIM(H8))=0</formula>
    </cfRule>
  </conditionalFormatting>
  <conditionalFormatting sqref="H9:K9">
    <cfRule type="expression" priority="67" stopIfTrue="1">
      <formula>COUNTBLANK($G$9)=1</formula>
    </cfRule>
    <cfRule type="containsBlanks" dxfId="65" priority="68">
      <formula>LEN(TRIM(H9))=0</formula>
    </cfRule>
  </conditionalFormatting>
  <conditionalFormatting sqref="H10:K10">
    <cfRule type="expression" priority="65" stopIfTrue="1">
      <formula>COUNTBLANK($G$10)=1</formula>
    </cfRule>
    <cfRule type="containsBlanks" dxfId="64" priority="66">
      <formula>LEN(TRIM(H10))=0</formula>
    </cfRule>
  </conditionalFormatting>
  <conditionalFormatting sqref="H11:K11">
    <cfRule type="expression" priority="63" stopIfTrue="1">
      <formula>COUNTBLANK($G$7)=1</formula>
    </cfRule>
    <cfRule type="containsBlanks" dxfId="63" priority="64">
      <formula>LEN(TRIM(H11))=0</formula>
    </cfRule>
  </conditionalFormatting>
  <conditionalFormatting sqref="H12:K12">
    <cfRule type="expression" priority="61" stopIfTrue="1">
      <formula>COUNTBLANK($G$8)=1</formula>
    </cfRule>
    <cfRule type="containsBlanks" dxfId="62" priority="62">
      <formula>LEN(TRIM(H12))=0</formula>
    </cfRule>
  </conditionalFormatting>
  <conditionalFormatting sqref="H13:K13">
    <cfRule type="expression" priority="59" stopIfTrue="1">
      <formula>COUNTBLANK($G$9)=1</formula>
    </cfRule>
    <cfRule type="containsBlanks" dxfId="61" priority="60">
      <formula>LEN(TRIM(H13))=0</formula>
    </cfRule>
  </conditionalFormatting>
  <conditionalFormatting sqref="H14:K14">
    <cfRule type="expression" priority="57" stopIfTrue="1">
      <formula>COUNTBLANK($G$10)=1</formula>
    </cfRule>
    <cfRule type="containsBlanks" dxfId="60" priority="58">
      <formula>LEN(TRIM(H14))=0</formula>
    </cfRule>
  </conditionalFormatting>
  <conditionalFormatting sqref="H15:K15">
    <cfRule type="expression" priority="55" stopIfTrue="1">
      <formula>COUNTBLANK($G$7)=1</formula>
    </cfRule>
    <cfRule type="containsBlanks" dxfId="59" priority="56">
      <formula>LEN(TRIM(H15))=0</formula>
    </cfRule>
  </conditionalFormatting>
  <conditionalFormatting sqref="H16:K16">
    <cfRule type="expression" priority="53" stopIfTrue="1">
      <formula>COUNTBLANK($G$8)=1</formula>
    </cfRule>
    <cfRule type="containsBlanks" dxfId="58" priority="54">
      <formula>LEN(TRIM(H16))=0</formula>
    </cfRule>
  </conditionalFormatting>
  <conditionalFormatting sqref="H17:K17">
    <cfRule type="expression" priority="51" stopIfTrue="1">
      <formula>COUNTBLANK($G$9)=1</formula>
    </cfRule>
    <cfRule type="containsBlanks" dxfId="57" priority="52">
      <formula>LEN(TRIM(H17))=0</formula>
    </cfRule>
  </conditionalFormatting>
  <conditionalFormatting sqref="H18:K18">
    <cfRule type="expression" priority="49" stopIfTrue="1">
      <formula>COUNTBLANK($G$10)=1</formula>
    </cfRule>
    <cfRule type="containsBlanks" dxfId="56" priority="50">
      <formula>LEN(TRIM(H18))=0</formula>
    </cfRule>
  </conditionalFormatting>
  <conditionalFormatting sqref="H19:K19">
    <cfRule type="expression" priority="47" stopIfTrue="1">
      <formula>COUNTBLANK($G$7)=1</formula>
    </cfRule>
    <cfRule type="containsBlanks" dxfId="55" priority="48">
      <formula>LEN(TRIM(H19))=0</formula>
    </cfRule>
  </conditionalFormatting>
  <conditionalFormatting sqref="H20:K20">
    <cfRule type="expression" priority="45" stopIfTrue="1">
      <formula>COUNTBLANK($G$8)=1</formula>
    </cfRule>
    <cfRule type="containsBlanks" dxfId="54" priority="46">
      <formula>LEN(TRIM(H20))=0</formula>
    </cfRule>
  </conditionalFormatting>
  <conditionalFormatting sqref="H21:K21">
    <cfRule type="expression" priority="43" stopIfTrue="1">
      <formula>COUNTBLANK($G$9)=1</formula>
    </cfRule>
    <cfRule type="containsBlanks" dxfId="53" priority="44">
      <formula>LEN(TRIM(H21))=0</formula>
    </cfRule>
  </conditionalFormatting>
  <conditionalFormatting sqref="H22:K22">
    <cfRule type="expression" priority="41" stopIfTrue="1">
      <formula>COUNTBLANK($G$10)=1</formula>
    </cfRule>
    <cfRule type="containsBlanks" dxfId="52" priority="42">
      <formula>LEN(TRIM(H22))=0</formula>
    </cfRule>
  </conditionalFormatting>
  <conditionalFormatting sqref="H23:K23">
    <cfRule type="expression" priority="39" stopIfTrue="1">
      <formula>COUNTBLANK($G$7)=1</formula>
    </cfRule>
    <cfRule type="containsBlanks" dxfId="51" priority="40">
      <formula>LEN(TRIM(H23))=0</formula>
    </cfRule>
  </conditionalFormatting>
  <conditionalFormatting sqref="H24:K24">
    <cfRule type="expression" priority="37" stopIfTrue="1">
      <formula>COUNTBLANK($G$8)=1</formula>
    </cfRule>
    <cfRule type="containsBlanks" dxfId="50" priority="38">
      <formula>LEN(TRIM(H24))=0</formula>
    </cfRule>
  </conditionalFormatting>
  <conditionalFormatting sqref="H25:K25">
    <cfRule type="expression" priority="35" stopIfTrue="1">
      <formula>COUNTBLANK($G$9)=1</formula>
    </cfRule>
    <cfRule type="containsBlanks" dxfId="49" priority="36">
      <formula>LEN(TRIM(H25))=0</formula>
    </cfRule>
  </conditionalFormatting>
  <conditionalFormatting sqref="H26:K26">
    <cfRule type="expression" priority="33" stopIfTrue="1">
      <formula>COUNTBLANK($G$10)=1</formula>
    </cfRule>
    <cfRule type="containsBlanks" dxfId="48" priority="34">
      <formula>LEN(TRIM(H26))=0</formula>
    </cfRule>
  </conditionalFormatting>
  <conditionalFormatting sqref="H27:K27">
    <cfRule type="expression" priority="31" stopIfTrue="1">
      <formula>COUNTBLANK($G$7)=1</formula>
    </cfRule>
    <cfRule type="containsBlanks" dxfId="47" priority="32">
      <formula>LEN(TRIM(H27))=0</formula>
    </cfRule>
  </conditionalFormatting>
  <conditionalFormatting sqref="H28:K28">
    <cfRule type="expression" priority="29" stopIfTrue="1">
      <formula>COUNTBLANK($G$8)=1</formula>
    </cfRule>
    <cfRule type="containsBlanks" dxfId="46" priority="30">
      <formula>LEN(TRIM(H28))=0</formula>
    </cfRule>
  </conditionalFormatting>
  <conditionalFormatting sqref="H29:K29">
    <cfRule type="expression" priority="27" stopIfTrue="1">
      <formula>COUNTBLANK($G$9)=1</formula>
    </cfRule>
    <cfRule type="containsBlanks" dxfId="45" priority="28">
      <formula>LEN(TRIM(H29))=0</formula>
    </cfRule>
  </conditionalFormatting>
  <conditionalFormatting sqref="H30:K30">
    <cfRule type="expression" priority="25" stopIfTrue="1">
      <formula>COUNTBLANK($G$10)=1</formula>
    </cfRule>
    <cfRule type="containsBlanks" dxfId="44" priority="26">
      <formula>LEN(TRIM(H30))=0</formula>
    </cfRule>
  </conditionalFormatting>
  <conditionalFormatting sqref="H31:K31">
    <cfRule type="expression" priority="23" stopIfTrue="1">
      <formula>COUNTBLANK($G$7)=1</formula>
    </cfRule>
    <cfRule type="containsBlanks" dxfId="43" priority="24">
      <formula>LEN(TRIM(H31))=0</formula>
    </cfRule>
  </conditionalFormatting>
  <conditionalFormatting sqref="H32:K32">
    <cfRule type="expression" priority="21" stopIfTrue="1">
      <formula>COUNTBLANK($G$8)=1</formula>
    </cfRule>
    <cfRule type="containsBlanks" dxfId="42" priority="22">
      <formula>LEN(TRIM(H32))=0</formula>
    </cfRule>
  </conditionalFormatting>
  <conditionalFormatting sqref="H33:K33">
    <cfRule type="expression" priority="19" stopIfTrue="1">
      <formula>COUNTBLANK($G$9)=1</formula>
    </cfRule>
    <cfRule type="containsBlanks" dxfId="41" priority="20">
      <formula>LEN(TRIM(H33))=0</formula>
    </cfRule>
  </conditionalFormatting>
  <conditionalFormatting sqref="H34:K34">
    <cfRule type="expression" priority="17" stopIfTrue="1">
      <formula>COUNTBLANK($G$10)=1</formula>
    </cfRule>
    <cfRule type="containsBlanks" dxfId="40" priority="18">
      <formula>LEN(TRIM(H34))=0</formula>
    </cfRule>
  </conditionalFormatting>
  <conditionalFormatting sqref="H35:K35">
    <cfRule type="expression" priority="15" stopIfTrue="1">
      <formula>COUNTBLANK($G$7)=1</formula>
    </cfRule>
    <cfRule type="containsBlanks" dxfId="39" priority="16">
      <formula>LEN(TRIM(H35))=0</formula>
    </cfRule>
  </conditionalFormatting>
  <conditionalFormatting sqref="H36:K36">
    <cfRule type="expression" priority="13" stopIfTrue="1">
      <formula>COUNTBLANK($G$8)=1</formula>
    </cfRule>
    <cfRule type="containsBlanks" dxfId="38" priority="14">
      <formula>LEN(TRIM(H36))=0</formula>
    </cfRule>
  </conditionalFormatting>
  <conditionalFormatting sqref="H37:K37">
    <cfRule type="expression" priority="11" stopIfTrue="1">
      <formula>COUNTBLANK($G$9)=1</formula>
    </cfRule>
    <cfRule type="containsBlanks" dxfId="37" priority="12">
      <formula>LEN(TRIM(H37))=0</formula>
    </cfRule>
  </conditionalFormatting>
  <conditionalFormatting sqref="H38:K38">
    <cfRule type="expression" priority="9" stopIfTrue="1">
      <formula>COUNTBLANK($G$10)=1</formula>
    </cfRule>
    <cfRule type="containsBlanks" dxfId="36" priority="10">
      <formula>LEN(TRIM(H38))=0</formula>
    </cfRule>
  </conditionalFormatting>
  <conditionalFormatting sqref="H39:K39">
    <cfRule type="expression" priority="7" stopIfTrue="1">
      <formula>COUNTBLANK($G$7)=1</formula>
    </cfRule>
    <cfRule type="containsBlanks" dxfId="35" priority="8">
      <formula>LEN(TRIM(H39))=0</formula>
    </cfRule>
  </conditionalFormatting>
  <conditionalFormatting sqref="H40:K40">
    <cfRule type="expression" priority="5" stopIfTrue="1">
      <formula>COUNTBLANK($G$8)=1</formula>
    </cfRule>
    <cfRule type="containsBlanks" dxfId="34" priority="6">
      <formula>LEN(TRIM(H40))=0</formula>
    </cfRule>
  </conditionalFormatting>
  <conditionalFormatting sqref="H41:K41">
    <cfRule type="expression" priority="3" stopIfTrue="1">
      <formula>COUNTBLANK($G$9)=1</formula>
    </cfRule>
    <cfRule type="containsBlanks" dxfId="33" priority="4">
      <formula>LEN(TRIM(H41))=0</formula>
    </cfRule>
  </conditionalFormatting>
  <conditionalFormatting sqref="H42:K42">
    <cfRule type="expression" priority="1" stopIfTrue="1">
      <formula>COUNTBLANK($G$10)=1</formula>
    </cfRule>
    <cfRule type="containsBlanks" dxfId="32" priority="2">
      <formula>LEN(TRIM(H42))=0</formula>
    </cfRule>
  </conditionalFormatting>
  <dataValidations count="2">
    <dataValidation type="decimal" allowBlank="1" showInputMessage="1" showErrorMessage="1" errorTitle="Illegal input value" error="Please enter a value between 0 and 10" sqref="H7:N42">
      <formula1>0</formula1>
      <formula2>10</formula2>
    </dataValidation>
    <dataValidation type="decimal" allowBlank="1" showInputMessage="1" showErrorMessage="1" sqref="O8:O10 O12:O14 O16:O18 O20:O22 O24:O26 O28:O30 O32:O34 O36:O38 O40:O42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5  -  Individuella miniorer&amp;B&amp;"Arial"&amp;8_x000D_
&amp;P (&amp;N)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28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29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/>
      <c r="H4" s="1"/>
      <c r="I4" s="1"/>
      <c r="J4" s="1"/>
      <c r="K4" s="1"/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Kür 1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 2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/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31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30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29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28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6  -  Pas de deux&amp;B&amp;"Arial"&amp;8_x000D_
&amp;P (&amp;N)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28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29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 1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>Kür 2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27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26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25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24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7  -  svår klass seniorlag (nationell)&amp;B&amp;"Arial"&amp;8_x000D_
&amp;P (&amp;N)</oddHead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28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29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 1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>Kür 2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23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22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21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20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8  -  Svår klass juniorlag (nationell)&amp;B&amp;"Arial"&amp;8_x000D_
&amp;P (&amp;N)</oddHead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35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 t="s">
        <v>34</v>
      </c>
      <c r="H4" s="1" t="s">
        <v>7</v>
      </c>
      <c r="I4" s="1" t="s">
        <v>93</v>
      </c>
      <c r="J4" s="1" t="s">
        <v>94</v>
      </c>
      <c r="K4" s="1" t="s">
        <v>95</v>
      </c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Tekn kür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>Kür</v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19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18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17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16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9  -  Individuella seniorer (nationell)&amp;B&amp;"Arial"&amp;8_x000D_
&amp;P (&amp;N)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34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/>
      <c r="H4" s="1"/>
      <c r="I4" s="1"/>
      <c r="J4" s="1"/>
      <c r="K4" s="1"/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/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15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14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13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12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10  -  Individuella juniorer (nationell)&amp;B&amp;"Arial"&amp;8_x000D_
&amp;P (&amp;N)</oddHead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 t="s">
        <v>27</v>
      </c>
      <c r="H2" s="1" t="s">
        <v>7</v>
      </c>
      <c r="I2" s="1" t="s">
        <v>27</v>
      </c>
      <c r="J2" s="1" t="s">
        <v>27</v>
      </c>
      <c r="K2" s="1" t="s">
        <v>27</v>
      </c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 t="s">
        <v>34</v>
      </c>
      <c r="H3" s="1" t="s">
        <v>7</v>
      </c>
      <c r="I3" s="1" t="s">
        <v>93</v>
      </c>
      <c r="J3" s="1" t="s">
        <v>94</v>
      </c>
      <c r="K3" s="1" t="s">
        <v>95</v>
      </c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/>
      <c r="H4" s="1"/>
      <c r="I4" s="1"/>
      <c r="J4" s="1"/>
      <c r="K4" s="1"/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>Grund</v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>Kür</v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/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11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10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9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8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11  -  Individuella miniorer (nationell)&amp;B&amp;"Arial"&amp;8_x000D_
&amp;P (&amp;N)</oddHead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/>
      <c r="H2" s="1"/>
      <c r="I2" s="1"/>
      <c r="J2" s="1"/>
      <c r="K2" s="1"/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/>
      <c r="H3" s="1"/>
      <c r="I3" s="1"/>
      <c r="J3" s="1"/>
      <c r="K3" s="1"/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/>
      <c r="H4" s="1"/>
      <c r="I4" s="1"/>
      <c r="J4" s="1"/>
      <c r="K4" s="1"/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/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/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/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sortState ref="A7:O10">
    <sortCondition ref="A7"/>
  </sortState>
  <conditionalFormatting sqref="H7:K7">
    <cfRule type="expression" priority="7" stopIfTrue="1">
      <formula>COUNTBLANK($G$7)=1</formula>
    </cfRule>
    <cfRule type="containsBlanks" dxfId="7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6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5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4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12  -  Pas de Deux (nationell)&amp;B&amp;"Arial"&amp;8_x000D_
&amp;P (&amp;N)</oddHead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O10"/>
  <sheetViews>
    <sheetView showRuler="0" view="pageLayout" zoomScale="80" zoomScaleNormal="100" zoomScalePageLayoutView="80" workbookViewId="0">
      <selection activeCell="F18" sqref="F18"/>
    </sheetView>
  </sheetViews>
  <sheetFormatPr defaultColWidth="10.625" defaultRowHeight="15.75" x14ac:dyDescent="0.25"/>
  <cols>
    <col min="2" max="3" width="10.625" hidden="1" customWidth="1"/>
    <col min="4" max="4" width="25.875" style="3" customWidth="1"/>
    <col min="5" max="5" width="6.75" customWidth="1"/>
    <col min="6" max="6" width="26.5" customWidth="1"/>
    <col min="13" max="14" width="10.625" hidden="1" customWidth="1"/>
    <col min="15" max="15" width="34.625" customWidth="1"/>
  </cols>
  <sheetData>
    <row r="1" spans="1:15" ht="15" customHeight="1" thickBot="1" x14ac:dyDescent="0.3">
      <c r="A1" s="40"/>
      <c r="B1" s="41"/>
      <c r="C1" s="41"/>
      <c r="D1" s="42"/>
      <c r="E1" s="43"/>
      <c r="F1" s="57" t="s">
        <v>11</v>
      </c>
      <c r="G1" s="58">
        <v>4</v>
      </c>
      <c r="H1" s="44" t="s">
        <v>0</v>
      </c>
      <c r="I1" s="45" t="s">
        <v>1</v>
      </c>
      <c r="J1" s="45" t="s">
        <v>2</v>
      </c>
      <c r="K1" s="45" t="s">
        <v>3</v>
      </c>
      <c r="L1" s="46"/>
      <c r="M1" s="51"/>
      <c r="N1" s="51"/>
      <c r="O1" s="47"/>
    </row>
    <row r="2" spans="1:15" x14ac:dyDescent="0.25">
      <c r="A2" s="48" t="s">
        <v>5</v>
      </c>
      <c r="B2" s="6"/>
      <c r="C2" s="6"/>
      <c r="D2" s="6" t="s">
        <v>10</v>
      </c>
      <c r="E2" s="7"/>
      <c r="F2" s="2" t="s">
        <v>6</v>
      </c>
      <c r="G2" s="15"/>
      <c r="H2" s="1"/>
      <c r="I2" s="1"/>
      <c r="J2" s="1"/>
      <c r="K2" s="1"/>
      <c r="L2" s="5" t="s">
        <v>4</v>
      </c>
      <c r="M2" s="52"/>
      <c r="N2" s="52"/>
      <c r="O2" s="49"/>
    </row>
    <row r="3" spans="1:15" x14ac:dyDescent="0.25">
      <c r="A3" s="50"/>
      <c r="B3" s="8"/>
      <c r="C3" s="8"/>
      <c r="D3" s="10" t="s">
        <v>8</v>
      </c>
      <c r="E3" s="9"/>
      <c r="F3" s="2" t="s">
        <v>7</v>
      </c>
      <c r="G3" s="1"/>
      <c r="H3" s="1"/>
      <c r="I3" s="1"/>
      <c r="J3" s="1"/>
      <c r="K3" s="1"/>
      <c r="L3" s="5" t="s">
        <v>9</v>
      </c>
      <c r="M3" s="52"/>
      <c r="N3" s="52"/>
      <c r="O3" s="49" t="s">
        <v>4</v>
      </c>
    </row>
    <row r="4" spans="1:15" x14ac:dyDescent="0.25">
      <c r="A4" s="50"/>
      <c r="B4" s="8"/>
      <c r="C4" s="8"/>
      <c r="D4" s="6"/>
      <c r="E4" s="9"/>
      <c r="F4" s="11"/>
      <c r="G4" s="4"/>
      <c r="H4" s="1"/>
      <c r="I4" s="1"/>
      <c r="J4" s="1"/>
      <c r="K4" s="1"/>
      <c r="L4" s="5"/>
      <c r="M4" s="52"/>
      <c r="N4" s="52"/>
      <c r="O4" s="49"/>
    </row>
    <row r="5" spans="1:15" ht="16.5" thickBot="1" x14ac:dyDescent="0.3">
      <c r="A5" s="67"/>
      <c r="B5" s="68"/>
      <c r="C5" s="68"/>
      <c r="D5" s="69"/>
      <c r="E5" s="70"/>
      <c r="F5" s="71"/>
      <c r="G5" s="72"/>
      <c r="H5" s="72"/>
      <c r="I5" s="72"/>
      <c r="J5" s="72"/>
      <c r="K5" s="72"/>
      <c r="L5" s="73"/>
      <c r="M5" s="74"/>
      <c r="N5" s="74"/>
      <c r="O5" s="75"/>
    </row>
    <row r="6" spans="1:15" ht="6.75" customHeight="1" thickBot="1" x14ac:dyDescent="0.3">
      <c r="A6" s="59"/>
      <c r="B6" s="60"/>
      <c r="C6" s="60"/>
      <c r="D6" s="61"/>
      <c r="E6" s="62"/>
      <c r="F6" s="63"/>
      <c r="G6" s="64"/>
      <c r="H6" s="64"/>
      <c r="I6" s="64"/>
      <c r="J6" s="64"/>
      <c r="K6" s="64"/>
      <c r="L6" s="65"/>
      <c r="M6" s="65"/>
      <c r="N6" s="65"/>
      <c r="O6" s="66"/>
    </row>
    <row r="7" spans="1:15" ht="16.5" thickBot="1" x14ac:dyDescent="0.3">
      <c r="A7" s="21">
        <f>_xlfn.FLOOR.MATH(RANK(N7,$N$7:$N$129)/4+1+SUMPRODUCT(--($N$7:$N$129=N7),--(O7&lt;$O$7:$O$129))/4)</f>
        <v>1</v>
      </c>
      <c r="B7" s="32">
        <v>27</v>
      </c>
      <c r="C7" s="32">
        <v>1</v>
      </c>
      <c r="D7" s="33"/>
      <c r="E7" s="34"/>
      <c r="F7" s="32"/>
      <c r="G7" s="27" t="str">
        <f>IF(round1&lt;&gt;"",round1,"")</f>
        <v/>
      </c>
      <c r="H7" s="12"/>
      <c r="I7" s="12"/>
      <c r="J7" s="12"/>
      <c r="K7" s="12"/>
      <c r="L7" s="28">
        <f>IF(COUNTBLANK(H7:K7)=0,ROUND(AVERAGE(H7:K7),3),0)</f>
        <v>0</v>
      </c>
      <c r="M7" s="53">
        <f>IF(COUNTBLANK(H7:K7)=0,1,0)</f>
        <v>0</v>
      </c>
      <c r="N7" s="53">
        <f>SUM(M7:M10)</f>
        <v>0</v>
      </c>
      <c r="O7" s="18">
        <f>IF(OR(L7:L10),ROUND(AVERAGEIF(L7:L10,"&gt;0"),3),0)</f>
        <v>0</v>
      </c>
    </row>
    <row r="8" spans="1:15" ht="16.5" thickBot="1" x14ac:dyDescent="0.3">
      <c r="A8" s="56">
        <f>_xlfn.FLOOR.MATH(RANK(N8,$N$7:$N$129)/4+1+SUMPRODUCT(--($N$7:$N$129=N8),--(O8&lt;$O$7:$O$129))/4)</f>
        <v>1</v>
      </c>
      <c r="B8" s="16">
        <v>27</v>
      </c>
      <c r="C8" s="16">
        <v>2</v>
      </c>
      <c r="D8" s="38" t="s">
        <v>12</v>
      </c>
      <c r="E8" s="31"/>
      <c r="F8" s="39" t="s">
        <v>13</v>
      </c>
      <c r="G8" s="26" t="str">
        <f>IF(round2&lt;&gt;"",round2,"")</f>
        <v/>
      </c>
      <c r="H8" s="24"/>
      <c r="I8" s="24"/>
      <c r="J8" s="24"/>
      <c r="K8" s="24"/>
      <c r="L8" s="25">
        <f>IF(COUNTBLANK(H8:K8)=0,ROUND(AVERAGE(H8:K8),3),0)</f>
        <v>0</v>
      </c>
      <c r="M8" s="53">
        <f>IF(COUNTBLANK(H8:K8)=0,1,0)</f>
        <v>0</v>
      </c>
      <c r="N8" s="54">
        <f>SUM(M7:M10)</f>
        <v>0</v>
      </c>
      <c r="O8" s="13">
        <f>IF(OR(L7:L10),ROUND(AVERAGEIF(L7:L10,"&gt;0"),3),0)</f>
        <v>0</v>
      </c>
    </row>
    <row r="9" spans="1:15" ht="16.5" thickBot="1" x14ac:dyDescent="0.3">
      <c r="A9" s="22">
        <f>_xlfn.FLOOR.MATH(RANK(N9,$N$7:$N$129)/4+1+SUMPRODUCT(--($N$7:$N$129=N9),--(O9&lt;$O$7:$O$129))/4)</f>
        <v>1</v>
      </c>
      <c r="B9" s="16">
        <v>27</v>
      </c>
      <c r="C9" s="16">
        <v>3</v>
      </c>
      <c r="D9" s="17" t="s">
        <v>15</v>
      </c>
      <c r="E9" s="31"/>
      <c r="F9" s="16" t="s">
        <v>14</v>
      </c>
      <c r="G9" s="26" t="str">
        <f>IF(round3&lt;&gt;"",round3,"")</f>
        <v/>
      </c>
      <c r="H9" s="24"/>
      <c r="I9" s="24"/>
      <c r="J9" s="24"/>
      <c r="K9" s="24"/>
      <c r="L9" s="25">
        <f>IF(COUNTBLANK(H9:K9)=0,ROUND(AVERAGE(H9:K9),3),0)</f>
        <v>0</v>
      </c>
      <c r="M9" s="53">
        <f>IF(COUNTBLANK(H9:K9)=0,1,0)</f>
        <v>0</v>
      </c>
      <c r="N9" s="54">
        <f>SUM(M7:M10)</f>
        <v>0</v>
      </c>
      <c r="O9" s="19">
        <f>IF(OR(L7:L10),ROUND(AVERAGEIF(L7:L10,"&gt;0"),3),0)</f>
        <v>0</v>
      </c>
    </row>
    <row r="10" spans="1:15" ht="16.5" thickBot="1" x14ac:dyDescent="0.3">
      <c r="A10" s="23">
        <f>_xlfn.FLOOR.MATH(RANK(N10,$N$7:$N$129)/4+1+SUMPRODUCT(--($N$7:$N$129=N10),--(O10&lt;$O$7:$O$129))/4)</f>
        <v>1</v>
      </c>
      <c r="B10" s="35">
        <v>27</v>
      </c>
      <c r="C10" s="35">
        <v>4</v>
      </c>
      <c r="D10" s="36"/>
      <c r="E10" s="37"/>
      <c r="F10" s="35"/>
      <c r="G10" s="29" t="str">
        <f>IF(round4&lt;&gt;"",round4,"")</f>
        <v/>
      </c>
      <c r="H10" s="14"/>
      <c r="I10" s="14"/>
      <c r="J10" s="14"/>
      <c r="K10" s="14"/>
      <c r="L10" s="30">
        <f>IF(COUNTBLANK(H10:K10)=0,ROUND(AVERAGE(H10:K10),3),0)</f>
        <v>0</v>
      </c>
      <c r="M10" s="53">
        <f>IF(COUNTBLANK(H10:K10)=0,1,0)</f>
        <v>0</v>
      </c>
      <c r="N10" s="55">
        <f>SUM(M7:M10)</f>
        <v>0</v>
      </c>
      <c r="O10" s="20">
        <f>IF(OR(L7:L10),ROUND(AVERAGEIF(L7:L10,"&gt;0"),3),0)</f>
        <v>0</v>
      </c>
    </row>
  </sheetData>
  <conditionalFormatting sqref="H7:K7">
    <cfRule type="expression" priority="7" stopIfTrue="1">
      <formula>COUNTBLANK($G$7)=1</formula>
    </cfRule>
    <cfRule type="containsBlanks" dxfId="3" priority="8">
      <formula>LEN(TRIM(H7))=0</formula>
    </cfRule>
  </conditionalFormatting>
  <conditionalFormatting sqref="H8:K8">
    <cfRule type="expression" priority="5" stopIfTrue="1">
      <formula>COUNTBLANK($G$8)=1</formula>
    </cfRule>
    <cfRule type="containsBlanks" dxfId="2" priority="6">
      <formula>LEN(TRIM(H8))=0</formula>
    </cfRule>
  </conditionalFormatting>
  <conditionalFormatting sqref="H9:K9">
    <cfRule type="expression" priority="3" stopIfTrue="1">
      <formula>COUNTBLANK($G$9)=1</formula>
    </cfRule>
    <cfRule type="containsBlanks" dxfId="1" priority="4">
      <formula>LEN(TRIM(H9))=0</formula>
    </cfRule>
  </conditionalFormatting>
  <conditionalFormatting sqref="H10:K10">
    <cfRule type="expression" priority="1" stopIfTrue="1">
      <formula>COUNTBLANK($G$10)=1</formula>
    </cfRule>
    <cfRule type="containsBlanks" dxfId="0" priority="2">
      <formula>LEN(TRIM(H10))=0</formula>
    </cfRule>
  </conditionalFormatting>
  <dataValidations count="2">
    <dataValidation type="decimal" allowBlank="1" showInputMessage="1" showErrorMessage="1" errorTitle="Illegal input value" error="Please enter a value between 0 and 10" sqref="H7:N10">
      <formula1>0</formula1>
      <formula2>10</formula2>
    </dataValidation>
    <dataValidation type="decimal" allowBlank="1" showInputMessage="1" showErrorMessage="1" sqref="O8:O10">
      <formula1>0</formula1>
      <formula2>10</formula2>
    </dataValidation>
  </dataValidations>
  <pageMargins left="0.70866141732283472" right="0.70866141732283472" top="0.74803149606299213" bottom="0.15748031496062992" header="0.31496062992125984" footer="0.11811023622047245"/>
  <pageSetup paperSize="9" scale="71" fitToHeight="0" orientation="landscape" r:id="rId1"/>
  <headerFooter>
    <oddHeader>&amp;L&amp;G&amp;C&amp;"Arial,bold"&amp;16Klass 13  -  Mellan klass lag (nationell)&amp;B&amp;"Arial"&amp;8_x000D_
&amp;P (&amp;N)</oddHead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4"/>
  <sheetViews>
    <sheetView tabSelected="1" workbookViewId="0">
      <selection activeCell="A14" sqref="A14"/>
    </sheetView>
  </sheetViews>
  <sheetFormatPr defaultColWidth="8.375" defaultRowHeight="15" x14ac:dyDescent="0.25"/>
  <cols>
    <col min="1" max="16384" width="8.375" style="77"/>
  </cols>
  <sheetData>
    <row r="1" spans="1:11" ht="16.5" x14ac:dyDescent="0.25">
      <c r="A1" s="76" t="s">
        <v>16</v>
      </c>
      <c r="B1" s="76" t="s">
        <v>17</v>
      </c>
      <c r="C1" s="76" t="s">
        <v>11</v>
      </c>
      <c r="D1" s="76" t="s">
        <v>18</v>
      </c>
      <c r="E1" s="76" t="s">
        <v>19</v>
      </c>
      <c r="F1" s="76" t="s">
        <v>20</v>
      </c>
      <c r="G1" s="76" t="s">
        <v>21</v>
      </c>
      <c r="H1" s="76" t="s">
        <v>22</v>
      </c>
      <c r="I1" s="76" t="s">
        <v>23</v>
      </c>
      <c r="J1" s="76" t="s">
        <v>24</v>
      </c>
      <c r="K1" s="76" t="s">
        <v>25</v>
      </c>
    </row>
    <row r="2" spans="1:11" ht="16.5" x14ac:dyDescent="0.25">
      <c r="A2" s="78">
        <v>1</v>
      </c>
      <c r="B2" s="78" t="s">
        <v>26</v>
      </c>
      <c r="C2" s="78">
        <v>4</v>
      </c>
      <c r="D2" s="78" t="s">
        <v>27</v>
      </c>
      <c r="E2" s="78" t="s">
        <v>28</v>
      </c>
      <c r="F2" s="78" t="s">
        <v>29</v>
      </c>
      <c r="G2" s="78"/>
      <c r="H2" s="78" t="s">
        <v>30</v>
      </c>
      <c r="I2" s="78" t="s">
        <v>31</v>
      </c>
      <c r="J2" s="78" t="s">
        <v>31</v>
      </c>
      <c r="K2" s="78"/>
    </row>
    <row r="3" spans="1:11" ht="16.5" x14ac:dyDescent="0.25">
      <c r="A3" s="78">
        <v>2</v>
      </c>
      <c r="B3" s="78" t="s">
        <v>32</v>
      </c>
      <c r="C3" s="78">
        <v>4</v>
      </c>
      <c r="D3" s="78" t="s">
        <v>27</v>
      </c>
      <c r="E3" s="78" t="s">
        <v>28</v>
      </c>
      <c r="F3" s="78" t="s">
        <v>29</v>
      </c>
      <c r="G3" s="78"/>
      <c r="H3" s="78" t="s">
        <v>30</v>
      </c>
      <c r="I3" s="78" t="s">
        <v>31</v>
      </c>
      <c r="J3" s="78" t="s">
        <v>31</v>
      </c>
      <c r="K3" s="78"/>
    </row>
    <row r="4" spans="1:11" ht="16.5" x14ac:dyDescent="0.25">
      <c r="A4" s="78">
        <v>3</v>
      </c>
      <c r="B4" s="78" t="s">
        <v>33</v>
      </c>
      <c r="C4" s="78">
        <v>4</v>
      </c>
      <c r="D4" s="78" t="s">
        <v>27</v>
      </c>
      <c r="E4" s="78" t="s">
        <v>34</v>
      </c>
      <c r="F4" s="78" t="s">
        <v>35</v>
      </c>
      <c r="G4" s="78"/>
      <c r="H4" s="78" t="s">
        <v>30</v>
      </c>
      <c r="I4" s="78" t="s">
        <v>31</v>
      </c>
      <c r="J4" s="78" t="s">
        <v>31</v>
      </c>
      <c r="K4" s="78"/>
    </row>
    <row r="5" spans="1:11" ht="16.5" x14ac:dyDescent="0.25">
      <c r="A5" s="78">
        <v>4</v>
      </c>
      <c r="B5" s="78" t="s">
        <v>36</v>
      </c>
      <c r="C5" s="78">
        <v>4</v>
      </c>
      <c r="D5" s="78" t="s">
        <v>27</v>
      </c>
      <c r="E5" s="78" t="s">
        <v>34</v>
      </c>
      <c r="F5" s="78" t="s">
        <v>96</v>
      </c>
      <c r="G5" s="78" t="s">
        <v>29</v>
      </c>
      <c r="H5" s="78" t="s">
        <v>30</v>
      </c>
      <c r="I5" s="78" t="s">
        <v>31</v>
      </c>
      <c r="J5" s="78" t="s">
        <v>31</v>
      </c>
      <c r="K5" s="78" t="s">
        <v>31</v>
      </c>
    </row>
    <row r="6" spans="1:11" ht="16.5" x14ac:dyDescent="0.25">
      <c r="A6" s="78">
        <v>5</v>
      </c>
      <c r="B6" s="78" t="s">
        <v>37</v>
      </c>
      <c r="C6" s="78">
        <v>4</v>
      </c>
      <c r="D6" s="78" t="s">
        <v>27</v>
      </c>
      <c r="E6" s="78" t="s">
        <v>34</v>
      </c>
      <c r="F6" s="78" t="s">
        <v>96</v>
      </c>
      <c r="G6" s="78" t="s">
        <v>29</v>
      </c>
      <c r="H6" s="78" t="s">
        <v>30</v>
      </c>
      <c r="I6" s="78" t="s">
        <v>31</v>
      </c>
      <c r="J6" s="78" t="s">
        <v>31</v>
      </c>
      <c r="K6" s="78" t="s">
        <v>31</v>
      </c>
    </row>
    <row r="7" spans="1:11" ht="16.5" x14ac:dyDescent="0.25">
      <c r="A7" s="78">
        <v>6</v>
      </c>
      <c r="B7" s="78" t="s">
        <v>38</v>
      </c>
      <c r="C7" s="78">
        <v>4</v>
      </c>
      <c r="D7" s="78" t="s">
        <v>28</v>
      </c>
      <c r="E7" s="78" t="s">
        <v>29</v>
      </c>
      <c r="F7" s="78"/>
      <c r="G7" s="78"/>
      <c r="H7" s="78" t="s">
        <v>30</v>
      </c>
      <c r="I7" s="78" t="s">
        <v>31</v>
      </c>
      <c r="J7" s="78"/>
      <c r="K7" s="78"/>
    </row>
    <row r="8" spans="1:11" ht="16.5" x14ac:dyDescent="0.25">
      <c r="A8" s="78">
        <v>7</v>
      </c>
      <c r="B8" s="78" t="s">
        <v>39</v>
      </c>
      <c r="C8" s="78">
        <v>4</v>
      </c>
      <c r="D8" s="78" t="s">
        <v>27</v>
      </c>
      <c r="E8" s="78" t="s">
        <v>28</v>
      </c>
      <c r="F8" s="78" t="s">
        <v>29</v>
      </c>
      <c r="G8" s="78"/>
      <c r="H8" s="78" t="s">
        <v>30</v>
      </c>
      <c r="I8" s="78" t="s">
        <v>31</v>
      </c>
      <c r="J8" s="78" t="s">
        <v>31</v>
      </c>
      <c r="K8" s="78"/>
    </row>
    <row r="9" spans="1:11" ht="24.75" x14ac:dyDescent="0.25">
      <c r="A9" s="78">
        <v>8</v>
      </c>
      <c r="B9" s="78" t="s">
        <v>40</v>
      </c>
      <c r="C9" s="78">
        <v>4</v>
      </c>
      <c r="D9" s="78" t="s">
        <v>27</v>
      </c>
      <c r="E9" s="78" t="s">
        <v>28</v>
      </c>
      <c r="F9" s="78" t="s">
        <v>29</v>
      </c>
      <c r="G9" s="78"/>
      <c r="H9" s="78" t="s">
        <v>30</v>
      </c>
      <c r="I9" s="78" t="s">
        <v>31</v>
      </c>
      <c r="J9" s="78" t="s">
        <v>31</v>
      </c>
      <c r="K9" s="78"/>
    </row>
    <row r="10" spans="1:11" ht="24.75" x14ac:dyDescent="0.25">
      <c r="A10" s="78">
        <v>9</v>
      </c>
      <c r="B10" s="78" t="s">
        <v>41</v>
      </c>
      <c r="C10" s="78">
        <v>4</v>
      </c>
      <c r="D10" s="78" t="s">
        <v>27</v>
      </c>
      <c r="E10" s="78" t="s">
        <v>35</v>
      </c>
      <c r="F10" s="78" t="s">
        <v>34</v>
      </c>
      <c r="G10" s="78"/>
      <c r="H10" s="78" t="s">
        <v>30</v>
      </c>
      <c r="I10" s="78" t="s">
        <v>31</v>
      </c>
      <c r="J10" s="78" t="s">
        <v>31</v>
      </c>
      <c r="K10" s="78"/>
    </row>
    <row r="11" spans="1:11" ht="16.5" x14ac:dyDescent="0.25">
      <c r="A11" s="78">
        <v>10</v>
      </c>
      <c r="B11" s="78" t="s">
        <v>42</v>
      </c>
      <c r="C11" s="78">
        <v>4</v>
      </c>
      <c r="D11" s="78" t="s">
        <v>27</v>
      </c>
      <c r="E11" s="78" t="s">
        <v>34</v>
      </c>
      <c r="F11" s="78"/>
      <c r="G11" s="78"/>
      <c r="H11" s="78" t="s">
        <v>30</v>
      </c>
      <c r="I11" s="78" t="s">
        <v>31</v>
      </c>
      <c r="J11" s="78"/>
      <c r="K11" s="78"/>
    </row>
    <row r="12" spans="1:11" ht="24.75" x14ac:dyDescent="0.25">
      <c r="A12" s="78">
        <v>11</v>
      </c>
      <c r="B12" s="78" t="s">
        <v>43</v>
      </c>
      <c r="C12" s="78">
        <v>4</v>
      </c>
      <c r="D12" s="78" t="s">
        <v>27</v>
      </c>
      <c r="E12" s="78" t="s">
        <v>34</v>
      </c>
      <c r="F12" s="78"/>
      <c r="G12" s="78"/>
      <c r="H12" s="78" t="s">
        <v>30</v>
      </c>
      <c r="I12" s="78" t="s">
        <v>31</v>
      </c>
      <c r="J12" s="78"/>
      <c r="K12" s="78"/>
    </row>
    <row r="13" spans="1:11" ht="16.5" x14ac:dyDescent="0.25">
      <c r="A13" s="78">
        <v>12</v>
      </c>
      <c r="B13" s="78" t="s">
        <v>44</v>
      </c>
      <c r="C13" s="78">
        <v>4</v>
      </c>
      <c r="D13" s="78"/>
      <c r="E13" s="78"/>
      <c r="F13" s="78"/>
      <c r="G13" s="78"/>
      <c r="H13" s="78"/>
      <c r="I13" s="78"/>
      <c r="J13" s="78"/>
      <c r="K13" s="78"/>
    </row>
    <row r="14" spans="1:11" ht="16.5" x14ac:dyDescent="0.25">
      <c r="A14" s="78">
        <v>13</v>
      </c>
      <c r="B14" s="78" t="s">
        <v>45</v>
      </c>
      <c r="C14" s="78">
        <v>4</v>
      </c>
      <c r="D14" s="78"/>
      <c r="E14" s="78"/>
      <c r="F14" s="78"/>
      <c r="G14" s="78"/>
      <c r="H14" s="78"/>
      <c r="I14" s="78"/>
      <c r="J14" s="79"/>
      <c r="K14" s="7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6"/>
  <sheetViews>
    <sheetView workbookViewId="0">
      <selection sqref="A1:F16"/>
    </sheetView>
  </sheetViews>
  <sheetFormatPr defaultRowHeight="15" x14ac:dyDescent="0.25"/>
  <cols>
    <col min="1" max="1" width="7.125" style="77" customWidth="1"/>
    <col min="2" max="2" width="11" style="77" customWidth="1"/>
    <col min="3" max="3" width="12.75" style="77" customWidth="1"/>
    <col min="4" max="16384" width="9" style="77"/>
  </cols>
  <sheetData>
    <row r="1" spans="1:6" x14ac:dyDescent="0.25">
      <c r="A1" s="76" t="s">
        <v>16</v>
      </c>
      <c r="B1" s="76" t="s">
        <v>46</v>
      </c>
      <c r="C1" s="76" t="s">
        <v>8</v>
      </c>
      <c r="D1" s="76" t="s">
        <v>6</v>
      </c>
      <c r="E1" s="76" t="s">
        <v>7</v>
      </c>
      <c r="F1" s="76" t="s">
        <v>97</v>
      </c>
    </row>
    <row r="2" spans="1:6" ht="16.5" x14ac:dyDescent="0.25">
      <c r="A2" s="78">
        <v>4</v>
      </c>
      <c r="B2" s="78" t="s">
        <v>47</v>
      </c>
      <c r="C2" s="78" t="s">
        <v>48</v>
      </c>
      <c r="D2" s="78" t="s">
        <v>49</v>
      </c>
      <c r="E2" s="78" t="s">
        <v>50</v>
      </c>
      <c r="F2" s="78" t="s">
        <v>51</v>
      </c>
    </row>
    <row r="3" spans="1:6" x14ac:dyDescent="0.25">
      <c r="A3" s="78">
        <v>4</v>
      </c>
      <c r="B3" s="78" t="s">
        <v>52</v>
      </c>
      <c r="C3" s="78" t="s">
        <v>53</v>
      </c>
      <c r="D3" s="78"/>
      <c r="E3" s="78" t="s">
        <v>54</v>
      </c>
      <c r="F3" s="78" t="s">
        <v>55</v>
      </c>
    </row>
    <row r="4" spans="1:6" x14ac:dyDescent="0.25">
      <c r="A4" s="78">
        <v>5</v>
      </c>
      <c r="B4" s="78" t="s">
        <v>56</v>
      </c>
      <c r="C4" s="78" t="s">
        <v>53</v>
      </c>
      <c r="D4" s="78"/>
      <c r="E4" s="78" t="s">
        <v>54</v>
      </c>
      <c r="F4" s="78" t="s">
        <v>57</v>
      </c>
    </row>
    <row r="5" spans="1:6" x14ac:dyDescent="0.25">
      <c r="A5" s="78">
        <v>5</v>
      </c>
      <c r="B5" s="78" t="s">
        <v>58</v>
      </c>
      <c r="C5" s="78" t="s">
        <v>53</v>
      </c>
      <c r="D5" s="78"/>
      <c r="E5" s="78" t="s">
        <v>54</v>
      </c>
      <c r="F5" s="78" t="s">
        <v>59</v>
      </c>
    </row>
    <row r="6" spans="1:6" x14ac:dyDescent="0.25">
      <c r="A6" s="78">
        <v>4</v>
      </c>
      <c r="B6" s="78" t="s">
        <v>60</v>
      </c>
      <c r="C6" s="78" t="s">
        <v>61</v>
      </c>
      <c r="D6" s="78"/>
      <c r="E6" s="78" t="s">
        <v>62</v>
      </c>
      <c r="F6" s="78" t="s">
        <v>63</v>
      </c>
    </row>
    <row r="7" spans="1:6" x14ac:dyDescent="0.25">
      <c r="A7" s="78">
        <v>5</v>
      </c>
      <c r="B7" s="78" t="s">
        <v>64</v>
      </c>
      <c r="C7" s="78" t="s">
        <v>65</v>
      </c>
      <c r="D7" s="78"/>
      <c r="E7" s="78" t="s">
        <v>66</v>
      </c>
      <c r="F7" s="78" t="s">
        <v>67</v>
      </c>
    </row>
    <row r="8" spans="1:6" x14ac:dyDescent="0.25">
      <c r="A8" s="78">
        <v>5</v>
      </c>
      <c r="B8" s="78" t="s">
        <v>68</v>
      </c>
      <c r="C8" s="78" t="s">
        <v>65</v>
      </c>
      <c r="D8" s="78"/>
      <c r="E8" s="78" t="s">
        <v>66</v>
      </c>
      <c r="F8" s="78" t="s">
        <v>69</v>
      </c>
    </row>
    <row r="9" spans="1:6" x14ac:dyDescent="0.25">
      <c r="A9" s="78">
        <v>5</v>
      </c>
      <c r="B9" s="78" t="s">
        <v>70</v>
      </c>
      <c r="C9" s="78" t="s">
        <v>65</v>
      </c>
      <c r="D9" s="78"/>
      <c r="E9" s="78" t="s">
        <v>66</v>
      </c>
      <c r="F9" s="78" t="s">
        <v>71</v>
      </c>
    </row>
    <row r="10" spans="1:6" x14ac:dyDescent="0.25">
      <c r="A10" s="78">
        <v>5</v>
      </c>
      <c r="B10" s="78" t="s">
        <v>72</v>
      </c>
      <c r="C10" s="78" t="s">
        <v>73</v>
      </c>
      <c r="D10" s="78"/>
      <c r="E10" s="78" t="s">
        <v>74</v>
      </c>
      <c r="F10" s="78" t="s">
        <v>75</v>
      </c>
    </row>
    <row r="11" spans="1:6" x14ac:dyDescent="0.25">
      <c r="A11" s="78">
        <v>4</v>
      </c>
      <c r="B11" s="78" t="s">
        <v>76</v>
      </c>
      <c r="C11" s="78" t="s">
        <v>73</v>
      </c>
      <c r="D11" s="78"/>
      <c r="E11" s="78" t="s">
        <v>74</v>
      </c>
      <c r="F11" s="78" t="s">
        <v>77</v>
      </c>
    </row>
    <row r="12" spans="1:6" x14ac:dyDescent="0.25">
      <c r="A12" s="78">
        <v>5</v>
      </c>
      <c r="B12" s="78" t="s">
        <v>78</v>
      </c>
      <c r="C12" s="78" t="s">
        <v>79</v>
      </c>
      <c r="D12" s="78"/>
      <c r="E12" s="78" t="s">
        <v>80</v>
      </c>
      <c r="F12" s="78" t="s">
        <v>81</v>
      </c>
    </row>
    <row r="13" spans="1:6" x14ac:dyDescent="0.25">
      <c r="A13" s="78">
        <v>4</v>
      </c>
      <c r="B13" s="78" t="s">
        <v>82</v>
      </c>
      <c r="C13" s="78" t="s">
        <v>79</v>
      </c>
      <c r="D13" s="78" t="s">
        <v>83</v>
      </c>
      <c r="E13" s="78" t="s">
        <v>80</v>
      </c>
      <c r="F13" s="78" t="s">
        <v>84</v>
      </c>
    </row>
    <row r="14" spans="1:6" x14ac:dyDescent="0.25">
      <c r="A14" s="78">
        <v>5</v>
      </c>
      <c r="B14" s="78" t="s">
        <v>85</v>
      </c>
      <c r="C14" s="78" t="s">
        <v>86</v>
      </c>
      <c r="D14" s="78"/>
      <c r="E14" s="78" t="s">
        <v>87</v>
      </c>
      <c r="F14" s="78" t="s">
        <v>88</v>
      </c>
    </row>
    <row r="15" spans="1:6" x14ac:dyDescent="0.25">
      <c r="A15" s="78">
        <v>5</v>
      </c>
      <c r="B15" s="78" t="s">
        <v>89</v>
      </c>
      <c r="C15" s="78" t="s">
        <v>86</v>
      </c>
      <c r="D15" s="78"/>
      <c r="E15" s="78" t="s">
        <v>87</v>
      </c>
      <c r="F15" s="78" t="s">
        <v>90</v>
      </c>
    </row>
    <row r="16" spans="1:6" x14ac:dyDescent="0.25">
      <c r="A16" s="78">
        <v>4</v>
      </c>
      <c r="B16" s="78" t="s">
        <v>91</v>
      </c>
      <c r="C16" s="78" t="s">
        <v>86</v>
      </c>
      <c r="D16" s="78"/>
      <c r="E16" s="78" t="s">
        <v>87</v>
      </c>
      <c r="F16" s="78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338</vt:i4>
      </vt:variant>
    </vt:vector>
  </HeadingPairs>
  <TitlesOfParts>
    <vt:vector size="354" baseType="lpstr">
      <vt:lpstr>ResultTemplate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Klasser</vt:lpstr>
      <vt:lpstr>Deltagare</vt:lpstr>
      <vt:lpstr>'1'!domare</vt:lpstr>
      <vt:lpstr>'10'!domare</vt:lpstr>
      <vt:lpstr>'11'!domare</vt:lpstr>
      <vt:lpstr>'12'!domare</vt:lpstr>
      <vt:lpstr>'13'!domare</vt:lpstr>
      <vt:lpstr>'2'!domare</vt:lpstr>
      <vt:lpstr>'3'!domare</vt:lpstr>
      <vt:lpstr>'4'!domare</vt:lpstr>
      <vt:lpstr>'5'!domare</vt:lpstr>
      <vt:lpstr>'6'!domare</vt:lpstr>
      <vt:lpstr>'7'!domare</vt:lpstr>
      <vt:lpstr>'8'!domare</vt:lpstr>
      <vt:lpstr>'9'!domare</vt:lpstr>
      <vt:lpstr>ResultTemplate!domare</vt:lpstr>
      <vt:lpstr>'1'!ekipage</vt:lpstr>
      <vt:lpstr>'10'!ekipage</vt:lpstr>
      <vt:lpstr>'11'!ekipage</vt:lpstr>
      <vt:lpstr>'12'!ekipage</vt:lpstr>
      <vt:lpstr>'13'!ekipage</vt:lpstr>
      <vt:lpstr>'2'!ekipage</vt:lpstr>
      <vt:lpstr>'3'!ekipage</vt:lpstr>
      <vt:lpstr>'4'!ekipage</vt:lpstr>
      <vt:lpstr>'5'!ekipage</vt:lpstr>
      <vt:lpstr>'6'!ekipage</vt:lpstr>
      <vt:lpstr>'7'!ekipage</vt:lpstr>
      <vt:lpstr>'8'!ekipage</vt:lpstr>
      <vt:lpstr>'9'!ekipage</vt:lpstr>
      <vt:lpstr>ResultTemplate!ekipage</vt:lpstr>
      <vt:lpstr>'4'!id_4_1_4_grund_2_a</vt:lpstr>
      <vt:lpstr>'4'!id_4_1_4_grund_2_b</vt:lpstr>
      <vt:lpstr>'4'!id_4_1_4_grund_2_c</vt:lpstr>
      <vt:lpstr>'4'!id_4_1_4_grund_2_d</vt:lpstr>
      <vt:lpstr>'4'!id_4_1_4_grund_a</vt:lpstr>
      <vt:lpstr>'4'!id_4_1_4_grund_b</vt:lpstr>
      <vt:lpstr>'4'!id_4_1_4_grund_c</vt:lpstr>
      <vt:lpstr>'4'!id_4_1_4_grund_d</vt:lpstr>
      <vt:lpstr>'4'!id_4_1_4_kür_2_a</vt:lpstr>
      <vt:lpstr>'4'!id_4_1_4_kür_2_b</vt:lpstr>
      <vt:lpstr>'4'!id_4_1_4_kür_2_c</vt:lpstr>
      <vt:lpstr>'4'!id_4_1_4_kür_2_d</vt:lpstr>
      <vt:lpstr>'4'!id_4_1_4_kür_a</vt:lpstr>
      <vt:lpstr>'4'!id_4_1_4_kür_b</vt:lpstr>
      <vt:lpstr>'4'!id_4_1_4_kür_c</vt:lpstr>
      <vt:lpstr>'4'!id_4_1_4_kür_d</vt:lpstr>
      <vt:lpstr>'4'!id_4_1018_4_grund_2_a</vt:lpstr>
      <vt:lpstr>'4'!id_4_1018_4_grund_2_b</vt:lpstr>
      <vt:lpstr>'4'!id_4_1018_4_grund_2_c</vt:lpstr>
      <vt:lpstr>'4'!id_4_1018_4_grund_2_d</vt:lpstr>
      <vt:lpstr>'4'!id_4_1018_4_grund_a</vt:lpstr>
      <vt:lpstr>'4'!id_4_1018_4_grund_b</vt:lpstr>
      <vt:lpstr>'4'!id_4_1018_4_grund_c</vt:lpstr>
      <vt:lpstr>'4'!id_4_1018_4_grund_d</vt:lpstr>
      <vt:lpstr>'4'!id_4_1018_4_kür_2_a</vt:lpstr>
      <vt:lpstr>'4'!id_4_1018_4_kür_2_b</vt:lpstr>
      <vt:lpstr>'4'!id_4_1018_4_kür_2_c</vt:lpstr>
      <vt:lpstr>'4'!id_4_1018_4_kür_2_d</vt:lpstr>
      <vt:lpstr>'4'!id_4_1018_4_kür_a</vt:lpstr>
      <vt:lpstr>'4'!id_4_1018_4_kür_b</vt:lpstr>
      <vt:lpstr>'4'!id_4_1018_4_kür_c</vt:lpstr>
      <vt:lpstr>'4'!id_4_1018_4_kür_d</vt:lpstr>
      <vt:lpstr>'4'!id_4_1021_4_grund_2_a</vt:lpstr>
      <vt:lpstr>'4'!id_4_1021_4_grund_2_b</vt:lpstr>
      <vt:lpstr>'4'!id_4_1021_4_grund_2_c</vt:lpstr>
      <vt:lpstr>'4'!id_4_1021_4_grund_2_d</vt:lpstr>
      <vt:lpstr>'4'!id_4_1021_4_grund_a</vt:lpstr>
      <vt:lpstr>'4'!id_4_1021_4_grund_b</vt:lpstr>
      <vt:lpstr>'4'!id_4_1021_4_grund_c</vt:lpstr>
      <vt:lpstr>'4'!id_4_1021_4_grund_d</vt:lpstr>
      <vt:lpstr>'4'!id_4_1021_4_kür_2_a</vt:lpstr>
      <vt:lpstr>'4'!id_4_1021_4_kür_2_b</vt:lpstr>
      <vt:lpstr>'4'!id_4_1021_4_kür_2_c</vt:lpstr>
      <vt:lpstr>'4'!id_4_1021_4_kür_2_d</vt:lpstr>
      <vt:lpstr>'4'!id_4_1021_4_kür_a</vt:lpstr>
      <vt:lpstr>'4'!id_4_1021_4_kür_b</vt:lpstr>
      <vt:lpstr>'4'!id_4_1021_4_kür_c</vt:lpstr>
      <vt:lpstr>'4'!id_4_1021_4_kür_d</vt:lpstr>
      <vt:lpstr>'4'!id_4_1026_4_grund_2_a</vt:lpstr>
      <vt:lpstr>'4'!id_4_1026_4_grund_2_b</vt:lpstr>
      <vt:lpstr>'4'!id_4_1026_4_grund_2_c</vt:lpstr>
      <vt:lpstr>'4'!id_4_1026_4_grund_2_d</vt:lpstr>
      <vt:lpstr>'4'!id_4_1026_4_grund_a</vt:lpstr>
      <vt:lpstr>'4'!id_4_1026_4_grund_b</vt:lpstr>
      <vt:lpstr>'4'!id_4_1026_4_grund_c</vt:lpstr>
      <vt:lpstr>'4'!id_4_1026_4_grund_d</vt:lpstr>
      <vt:lpstr>'4'!id_4_1026_4_kür_2_a</vt:lpstr>
      <vt:lpstr>'4'!id_4_1026_4_kür_2_b</vt:lpstr>
      <vt:lpstr>'4'!id_4_1026_4_kür_2_c</vt:lpstr>
      <vt:lpstr>'4'!id_4_1026_4_kür_2_d</vt:lpstr>
      <vt:lpstr>'4'!id_4_1026_4_kür_a</vt:lpstr>
      <vt:lpstr>'4'!id_4_1026_4_kür_b</vt:lpstr>
      <vt:lpstr>'4'!id_4_1026_4_kür_c</vt:lpstr>
      <vt:lpstr>'4'!id_4_1026_4_kür_d</vt:lpstr>
      <vt:lpstr>'4'!id_4_1032_4_grund_2_a</vt:lpstr>
      <vt:lpstr>'4'!id_4_1032_4_grund_2_b</vt:lpstr>
      <vt:lpstr>'4'!id_4_1032_4_grund_2_c</vt:lpstr>
      <vt:lpstr>'4'!id_4_1032_4_grund_2_d</vt:lpstr>
      <vt:lpstr>'4'!id_4_1032_4_grund_a</vt:lpstr>
      <vt:lpstr>'4'!id_4_1032_4_grund_b</vt:lpstr>
      <vt:lpstr>'4'!id_4_1032_4_grund_c</vt:lpstr>
      <vt:lpstr>'4'!id_4_1032_4_grund_d</vt:lpstr>
      <vt:lpstr>'4'!id_4_1032_4_kür_2_a</vt:lpstr>
      <vt:lpstr>'4'!id_4_1032_4_kür_2_b</vt:lpstr>
      <vt:lpstr>'4'!id_4_1032_4_kür_2_c</vt:lpstr>
      <vt:lpstr>'4'!id_4_1032_4_kür_2_d</vt:lpstr>
      <vt:lpstr>'4'!id_4_1032_4_kür_a</vt:lpstr>
      <vt:lpstr>'4'!id_4_1032_4_kür_b</vt:lpstr>
      <vt:lpstr>'4'!id_4_1032_4_kür_c</vt:lpstr>
      <vt:lpstr>'4'!id_4_1032_4_kür_d</vt:lpstr>
      <vt:lpstr>'4'!id_4_4_4_grund_2_a</vt:lpstr>
      <vt:lpstr>'4'!id_4_4_4_grund_2_b</vt:lpstr>
      <vt:lpstr>'4'!id_4_4_4_grund_2_c</vt:lpstr>
      <vt:lpstr>'4'!id_4_4_4_grund_2_d</vt:lpstr>
      <vt:lpstr>'4'!id_4_4_4_grund_a</vt:lpstr>
      <vt:lpstr>'4'!id_4_4_4_grund_b</vt:lpstr>
      <vt:lpstr>'4'!id_4_4_4_grund_c</vt:lpstr>
      <vt:lpstr>'4'!id_4_4_4_grund_d</vt:lpstr>
      <vt:lpstr>'4'!id_4_4_4_kür_2_a</vt:lpstr>
      <vt:lpstr>'4'!id_4_4_4_kür_2_b</vt:lpstr>
      <vt:lpstr>'4'!id_4_4_4_kür_2_c</vt:lpstr>
      <vt:lpstr>'4'!id_4_4_4_kür_2_d</vt:lpstr>
      <vt:lpstr>'4'!id_4_4_4_kür_a</vt:lpstr>
      <vt:lpstr>'4'!id_4_4_4_kür_b</vt:lpstr>
      <vt:lpstr>'4'!id_4_4_4_kür_c</vt:lpstr>
      <vt:lpstr>'4'!id_4_4_4_kür_d</vt:lpstr>
      <vt:lpstr>'5'!id_5_1019_5_grund_2_a</vt:lpstr>
      <vt:lpstr>'5'!id_5_1019_5_grund_2_b</vt:lpstr>
      <vt:lpstr>'5'!id_5_1019_5_grund_2_c</vt:lpstr>
      <vt:lpstr>'5'!id_5_1019_5_grund_2_d</vt:lpstr>
      <vt:lpstr>'5'!id_5_1019_5_grund_a</vt:lpstr>
      <vt:lpstr>'5'!id_5_1019_5_grund_b</vt:lpstr>
      <vt:lpstr>'5'!id_5_1019_5_grund_c</vt:lpstr>
      <vt:lpstr>'5'!id_5_1019_5_grund_d</vt:lpstr>
      <vt:lpstr>'5'!id_5_1019_5_kür_2_a</vt:lpstr>
      <vt:lpstr>'5'!id_5_1019_5_kür_2_b</vt:lpstr>
      <vt:lpstr>'5'!id_5_1019_5_kür_2_c</vt:lpstr>
      <vt:lpstr>'5'!id_5_1019_5_kür_2_d</vt:lpstr>
      <vt:lpstr>'5'!id_5_1019_5_kür_a</vt:lpstr>
      <vt:lpstr>'5'!id_5_1019_5_kür_b</vt:lpstr>
      <vt:lpstr>'5'!id_5_1019_5_kür_c</vt:lpstr>
      <vt:lpstr>'5'!id_5_1019_5_kür_d</vt:lpstr>
      <vt:lpstr>'5'!id_5_1020_5_grund_2_a</vt:lpstr>
      <vt:lpstr>'5'!id_5_1020_5_grund_2_b</vt:lpstr>
      <vt:lpstr>'5'!id_5_1020_5_grund_2_c</vt:lpstr>
      <vt:lpstr>'5'!id_5_1020_5_grund_2_d</vt:lpstr>
      <vt:lpstr>'5'!id_5_1020_5_grund_a</vt:lpstr>
      <vt:lpstr>'5'!id_5_1020_5_grund_b</vt:lpstr>
      <vt:lpstr>'5'!id_5_1020_5_grund_c</vt:lpstr>
      <vt:lpstr>'5'!id_5_1020_5_grund_d</vt:lpstr>
      <vt:lpstr>'5'!id_5_1020_5_kür_2_a</vt:lpstr>
      <vt:lpstr>'5'!id_5_1020_5_kür_2_b</vt:lpstr>
      <vt:lpstr>'5'!id_5_1020_5_kür_2_c</vt:lpstr>
      <vt:lpstr>'5'!id_5_1020_5_kür_2_d</vt:lpstr>
      <vt:lpstr>'5'!id_5_1020_5_kür_a</vt:lpstr>
      <vt:lpstr>'5'!id_5_1020_5_kür_b</vt:lpstr>
      <vt:lpstr>'5'!id_5_1020_5_kür_c</vt:lpstr>
      <vt:lpstr>'5'!id_5_1020_5_kür_d</vt:lpstr>
      <vt:lpstr>'5'!id_5_1022_5_grund_2_a</vt:lpstr>
      <vt:lpstr>'5'!id_5_1022_5_grund_2_b</vt:lpstr>
      <vt:lpstr>'5'!id_5_1022_5_grund_2_c</vt:lpstr>
      <vt:lpstr>'5'!id_5_1022_5_grund_2_d</vt:lpstr>
      <vt:lpstr>'5'!id_5_1022_5_grund_a</vt:lpstr>
      <vt:lpstr>'5'!id_5_1022_5_grund_b</vt:lpstr>
      <vt:lpstr>'5'!id_5_1022_5_grund_c</vt:lpstr>
      <vt:lpstr>'5'!id_5_1022_5_grund_d</vt:lpstr>
      <vt:lpstr>'5'!id_5_1022_5_kür_2_a</vt:lpstr>
      <vt:lpstr>'5'!id_5_1022_5_kür_2_b</vt:lpstr>
      <vt:lpstr>'5'!id_5_1022_5_kür_2_c</vt:lpstr>
      <vt:lpstr>'5'!id_5_1022_5_kür_2_d</vt:lpstr>
      <vt:lpstr>'5'!id_5_1022_5_kür_a</vt:lpstr>
      <vt:lpstr>'5'!id_5_1022_5_kür_b</vt:lpstr>
      <vt:lpstr>'5'!id_5_1022_5_kür_c</vt:lpstr>
      <vt:lpstr>'5'!id_5_1022_5_kür_d</vt:lpstr>
      <vt:lpstr>'5'!id_5_1023_5_grund_2_a</vt:lpstr>
      <vt:lpstr>'5'!id_5_1023_5_grund_2_b</vt:lpstr>
      <vt:lpstr>'5'!id_5_1023_5_grund_2_c</vt:lpstr>
      <vt:lpstr>'5'!id_5_1023_5_grund_2_d</vt:lpstr>
      <vt:lpstr>'5'!id_5_1023_5_grund_a</vt:lpstr>
      <vt:lpstr>'5'!id_5_1023_5_grund_b</vt:lpstr>
      <vt:lpstr>'5'!id_5_1023_5_grund_c</vt:lpstr>
      <vt:lpstr>'5'!id_5_1023_5_grund_d</vt:lpstr>
      <vt:lpstr>'5'!id_5_1023_5_kür_2_a</vt:lpstr>
      <vt:lpstr>'5'!id_5_1023_5_kür_2_b</vt:lpstr>
      <vt:lpstr>'5'!id_5_1023_5_kür_2_c</vt:lpstr>
      <vt:lpstr>'5'!id_5_1023_5_kür_2_d</vt:lpstr>
      <vt:lpstr>'5'!id_5_1023_5_kür_a</vt:lpstr>
      <vt:lpstr>'5'!id_5_1023_5_kür_b</vt:lpstr>
      <vt:lpstr>'5'!id_5_1023_5_kür_c</vt:lpstr>
      <vt:lpstr>'5'!id_5_1023_5_kür_d</vt:lpstr>
      <vt:lpstr>'5'!id_5_1024_5_grund_2_a</vt:lpstr>
      <vt:lpstr>'5'!id_5_1024_5_grund_2_b</vt:lpstr>
      <vt:lpstr>'5'!id_5_1024_5_grund_2_c</vt:lpstr>
      <vt:lpstr>'5'!id_5_1024_5_grund_2_d</vt:lpstr>
      <vt:lpstr>'5'!id_5_1024_5_grund_a</vt:lpstr>
      <vt:lpstr>'5'!id_5_1024_5_grund_b</vt:lpstr>
      <vt:lpstr>'5'!id_5_1024_5_grund_c</vt:lpstr>
      <vt:lpstr>'5'!id_5_1024_5_grund_d</vt:lpstr>
      <vt:lpstr>'5'!id_5_1024_5_kür_2_a</vt:lpstr>
      <vt:lpstr>'5'!id_5_1024_5_kür_2_b</vt:lpstr>
      <vt:lpstr>'5'!id_5_1024_5_kür_2_c</vt:lpstr>
      <vt:lpstr>'5'!id_5_1024_5_kür_2_d</vt:lpstr>
      <vt:lpstr>'5'!id_5_1024_5_kür_a</vt:lpstr>
      <vt:lpstr>'5'!id_5_1024_5_kür_b</vt:lpstr>
      <vt:lpstr>'5'!id_5_1024_5_kür_c</vt:lpstr>
      <vt:lpstr>'5'!id_5_1024_5_kür_d</vt:lpstr>
      <vt:lpstr>'5'!id_5_1025_5_grund_2_a</vt:lpstr>
      <vt:lpstr>'5'!id_5_1025_5_grund_2_b</vt:lpstr>
      <vt:lpstr>'5'!id_5_1025_5_grund_2_c</vt:lpstr>
      <vt:lpstr>'5'!id_5_1025_5_grund_2_d</vt:lpstr>
      <vt:lpstr>'5'!id_5_1025_5_grund_a</vt:lpstr>
      <vt:lpstr>'5'!id_5_1025_5_grund_b</vt:lpstr>
      <vt:lpstr>'5'!id_5_1025_5_grund_c</vt:lpstr>
      <vt:lpstr>'5'!id_5_1025_5_grund_d</vt:lpstr>
      <vt:lpstr>'5'!id_5_1025_5_kür_2_a</vt:lpstr>
      <vt:lpstr>'5'!id_5_1025_5_kür_2_b</vt:lpstr>
      <vt:lpstr>'5'!id_5_1025_5_kür_2_c</vt:lpstr>
      <vt:lpstr>'5'!id_5_1025_5_kür_2_d</vt:lpstr>
      <vt:lpstr>'5'!id_5_1025_5_kür_a</vt:lpstr>
      <vt:lpstr>'5'!id_5_1025_5_kür_b</vt:lpstr>
      <vt:lpstr>'5'!id_5_1025_5_kür_c</vt:lpstr>
      <vt:lpstr>'5'!id_5_1025_5_kür_d</vt:lpstr>
      <vt:lpstr>'5'!id_5_1027_5_grund_2_a</vt:lpstr>
      <vt:lpstr>'5'!id_5_1027_5_grund_2_b</vt:lpstr>
      <vt:lpstr>'5'!id_5_1027_5_grund_2_c</vt:lpstr>
      <vt:lpstr>'5'!id_5_1027_5_grund_2_d</vt:lpstr>
      <vt:lpstr>'5'!id_5_1027_5_grund_a</vt:lpstr>
      <vt:lpstr>'5'!id_5_1027_5_grund_b</vt:lpstr>
      <vt:lpstr>'5'!id_5_1027_5_grund_c</vt:lpstr>
      <vt:lpstr>'5'!id_5_1027_5_grund_d</vt:lpstr>
      <vt:lpstr>'5'!id_5_1027_5_kür_2_a</vt:lpstr>
      <vt:lpstr>'5'!id_5_1027_5_kür_2_b</vt:lpstr>
      <vt:lpstr>'5'!id_5_1027_5_kür_2_c</vt:lpstr>
      <vt:lpstr>'5'!id_5_1027_5_kür_2_d</vt:lpstr>
      <vt:lpstr>'5'!id_5_1027_5_kür_a</vt:lpstr>
      <vt:lpstr>'5'!id_5_1027_5_kür_b</vt:lpstr>
      <vt:lpstr>'5'!id_5_1027_5_kür_c</vt:lpstr>
      <vt:lpstr>'5'!id_5_1027_5_kür_d</vt:lpstr>
      <vt:lpstr>'5'!id_5_1030_5_grund_2_a</vt:lpstr>
      <vt:lpstr>'5'!id_5_1030_5_grund_2_b</vt:lpstr>
      <vt:lpstr>'5'!id_5_1030_5_grund_2_c</vt:lpstr>
      <vt:lpstr>'5'!id_5_1030_5_grund_2_d</vt:lpstr>
      <vt:lpstr>'5'!id_5_1030_5_grund_a</vt:lpstr>
      <vt:lpstr>'5'!id_5_1030_5_grund_b</vt:lpstr>
      <vt:lpstr>'5'!id_5_1030_5_grund_c</vt:lpstr>
      <vt:lpstr>'5'!id_5_1030_5_grund_d</vt:lpstr>
      <vt:lpstr>'5'!id_5_1030_5_kür_2_a</vt:lpstr>
      <vt:lpstr>'5'!id_5_1030_5_kür_2_b</vt:lpstr>
      <vt:lpstr>'5'!id_5_1030_5_kür_2_c</vt:lpstr>
      <vt:lpstr>'5'!id_5_1030_5_kür_2_d</vt:lpstr>
      <vt:lpstr>'5'!id_5_1030_5_kür_a</vt:lpstr>
      <vt:lpstr>'5'!id_5_1030_5_kür_b</vt:lpstr>
      <vt:lpstr>'5'!id_5_1030_5_kür_c</vt:lpstr>
      <vt:lpstr>'5'!id_5_1030_5_kür_d</vt:lpstr>
      <vt:lpstr>'5'!id_5_1031_5_grund_2_a</vt:lpstr>
      <vt:lpstr>'5'!id_5_1031_5_grund_2_b</vt:lpstr>
      <vt:lpstr>'5'!id_5_1031_5_grund_2_c</vt:lpstr>
      <vt:lpstr>'5'!id_5_1031_5_grund_2_d</vt:lpstr>
      <vt:lpstr>'5'!id_5_1031_5_grund_a</vt:lpstr>
      <vt:lpstr>'5'!id_5_1031_5_grund_b</vt:lpstr>
      <vt:lpstr>'5'!id_5_1031_5_grund_c</vt:lpstr>
      <vt:lpstr>'5'!id_5_1031_5_grund_d</vt:lpstr>
      <vt:lpstr>'5'!id_5_1031_5_kür_2_a</vt:lpstr>
      <vt:lpstr>'5'!id_5_1031_5_kür_2_b</vt:lpstr>
      <vt:lpstr>'5'!id_5_1031_5_kür_2_c</vt:lpstr>
      <vt:lpstr>'5'!id_5_1031_5_kür_2_d</vt:lpstr>
      <vt:lpstr>'5'!id_5_1031_5_kür_a</vt:lpstr>
      <vt:lpstr>'5'!id_5_1031_5_kür_b</vt:lpstr>
      <vt:lpstr>'5'!id_5_1031_5_kür_c</vt:lpstr>
      <vt:lpstr>'5'!id_5_1031_5_kür_d</vt:lpstr>
      <vt:lpstr>'1'!Print_Titles</vt:lpstr>
      <vt:lpstr>'10'!Print_Titles</vt:lpstr>
      <vt:lpstr>'11'!Print_Titles</vt:lpstr>
      <vt:lpstr>'12'!Print_Titles</vt:lpstr>
      <vt:lpstr>'13'!Print_Titles</vt:lpstr>
      <vt:lpstr>'2'!Print_Titles</vt:lpstr>
      <vt:lpstr>'3'!Print_Titles</vt:lpstr>
      <vt:lpstr>'4'!Print_Titles</vt:lpstr>
      <vt:lpstr>'5'!Print_Titles</vt:lpstr>
      <vt:lpstr>'6'!Print_Titles</vt:lpstr>
      <vt:lpstr>'7'!Print_Titles</vt:lpstr>
      <vt:lpstr>'8'!Print_Titles</vt:lpstr>
      <vt:lpstr>'9'!Print_Titles</vt:lpstr>
      <vt:lpstr>ResultTemplate!Print_Titles</vt:lpstr>
      <vt:lpstr>'1'!round1</vt:lpstr>
      <vt:lpstr>'10'!round1</vt:lpstr>
      <vt:lpstr>'11'!round1</vt:lpstr>
      <vt:lpstr>'12'!round1</vt:lpstr>
      <vt:lpstr>'13'!round1</vt:lpstr>
      <vt:lpstr>'2'!round1</vt:lpstr>
      <vt:lpstr>'3'!round1</vt:lpstr>
      <vt:lpstr>'4'!round1</vt:lpstr>
      <vt:lpstr>'5'!round1</vt:lpstr>
      <vt:lpstr>'6'!round1</vt:lpstr>
      <vt:lpstr>'7'!round1</vt:lpstr>
      <vt:lpstr>'8'!round1</vt:lpstr>
      <vt:lpstr>'9'!round1</vt:lpstr>
      <vt:lpstr>ResultTemplate!round1</vt:lpstr>
      <vt:lpstr>'1'!round2</vt:lpstr>
      <vt:lpstr>'10'!round2</vt:lpstr>
      <vt:lpstr>'11'!round2</vt:lpstr>
      <vt:lpstr>'12'!round2</vt:lpstr>
      <vt:lpstr>'13'!round2</vt:lpstr>
      <vt:lpstr>'2'!round2</vt:lpstr>
      <vt:lpstr>'3'!round2</vt:lpstr>
      <vt:lpstr>'4'!round2</vt:lpstr>
      <vt:lpstr>'5'!round2</vt:lpstr>
      <vt:lpstr>'6'!round2</vt:lpstr>
      <vt:lpstr>'7'!round2</vt:lpstr>
      <vt:lpstr>'8'!round2</vt:lpstr>
      <vt:lpstr>'9'!round2</vt:lpstr>
      <vt:lpstr>ResultTemplate!round2</vt:lpstr>
      <vt:lpstr>'1'!round3</vt:lpstr>
      <vt:lpstr>'10'!round3</vt:lpstr>
      <vt:lpstr>'11'!round3</vt:lpstr>
      <vt:lpstr>'12'!round3</vt:lpstr>
      <vt:lpstr>'13'!round3</vt:lpstr>
      <vt:lpstr>'2'!round3</vt:lpstr>
      <vt:lpstr>'3'!round3</vt:lpstr>
      <vt:lpstr>'4'!round3</vt:lpstr>
      <vt:lpstr>'5'!round3</vt:lpstr>
      <vt:lpstr>'6'!round3</vt:lpstr>
      <vt:lpstr>'7'!round3</vt:lpstr>
      <vt:lpstr>'8'!round3</vt:lpstr>
      <vt:lpstr>'9'!round3</vt:lpstr>
      <vt:lpstr>ResultTemplate!round3</vt:lpstr>
      <vt:lpstr>'1'!round4</vt:lpstr>
      <vt:lpstr>'10'!round4</vt:lpstr>
      <vt:lpstr>'11'!round4</vt:lpstr>
      <vt:lpstr>'12'!round4</vt:lpstr>
      <vt:lpstr>'13'!round4</vt:lpstr>
      <vt:lpstr>'2'!round4</vt:lpstr>
      <vt:lpstr>'3'!round4</vt:lpstr>
      <vt:lpstr>'4'!round4</vt:lpstr>
      <vt:lpstr>'5'!round4</vt:lpstr>
      <vt:lpstr>'6'!round4</vt:lpstr>
      <vt:lpstr>'7'!round4</vt:lpstr>
      <vt:lpstr>'8'!round4</vt:lpstr>
      <vt:lpstr>'9'!round4</vt:lpstr>
      <vt:lpstr>ResultTemplate!round4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Familjen Stålenheim</dc:creator>
  <cp:lastModifiedBy>Magnus Lundström</cp:lastModifiedBy>
  <cp:lastPrinted>2017-06-17T07:13:41Z</cp:lastPrinted>
  <dcterms:created xsi:type="dcterms:W3CDTF">2015-05-18T19:56:40Z</dcterms:created>
  <dcterms:modified xsi:type="dcterms:W3CDTF">2017-06-17T16:19:55Z</dcterms:modified>
</cp:coreProperties>
</file>