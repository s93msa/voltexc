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2" activeTab="2" xr2:uid="{00000000-000D-0000-FFFF-FFFF00000000}"/>
  </x:bookViews>
  <x:sheets>
    <x:sheet name="Information" sheetId="27" state="hidden" r:id="rId1"/>
    <x:sheet name="Häst_old, lag" sheetId="24" state="hidden" r:id="rId2"/>
    <x:sheet name="Lag grund A" sheetId="22" r:id="rId3"/>
    <x:sheet name="Lag grund B" sheetId="18" state="hidden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<x:sst xmlns:x="http://schemas.openxmlformats.org/spreadsheetml/2006/main" count="189" uniqueCount="189">
  <x:si>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</x:si>
  <x:si>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</x:si>
  <x:si>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</x:si>
  <x:si>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</x:si>
  <x:si>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</x:si>
  <x:si>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</x:si>
  <x:si>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</x:si>
  <x:si>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</x:si>
  <x:si>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</x:si>
  <x:si>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</x:si>
  <x:si>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</x:si>
  <x:si>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</x:si>
  <x:si>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</x:si>
  <x:si>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</x:si>
  <x:si>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</x:si>
  <x:si>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</x:si>
  <x:si>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</x:si>
  <x:si>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</x:si>
  <x:si>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</x:si>
  <x:si>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</x:si>
  <x:si>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</x:si>
  <x:si>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</x:si>
  <x:si>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</x:si>
  <x:si>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</x:si>
  <x:si>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</x:si>
  <x:si>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</x:si>
  <x:si>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</x:si>
  <x:si>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</x:si>
  <x:si>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</x:si>
  <x:si>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</x:si>
  <x:si>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</x:si>
  <x:si>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</x:si>
  <x:si>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</x:si>
  <x:si>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</x:si>
  <x:si>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</x:si>
  <x:si>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</x:si>
  <x:si>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</x:si>
  <x:si>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</x:si>
  <x:si>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</x:si>
  <x:si>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</x:si>
  <x:si>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</x:si>
  <x:si>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</x:si>
  <x:si>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</x:si>
  <x:si>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</x:si>
  <x:si>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</x:si>
  <x:si>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</x:si>
  <x:si>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</x:si>
  <x:si>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</x:si>
  <x:si>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</x:si>
  <x:si>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</x:si>
  <x:si>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</x:si>
  <x:si>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</x:si>
  <x:si>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</x:si>
  <x:si>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</x:si>
  <x:si>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</x:si>
  <x:si>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</x:si>
  <x:si>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</x:si>
  <x:si>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</x:si>
  <x:si>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</x:si>
  <x:si>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</x:si>
  <x:si>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</x:si>
  <x:si>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</x:si>
  <x:si>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</x:si>
  <x:si>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</x:si>
  <x:si>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</x:si>
  <x:si>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</x:si>
  <x:si>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</x:si>
  <x:si>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</x:si>
  <x:si>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</x:si>
  <x:si>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</x:si>
  <x:si>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</x:si>
  <x:si>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</x:si>
  <x:si>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</x:si>
  <x:si>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</x:si>
  <x:si>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</x:si>
  <x:si>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</x:si>
  <x:si>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</x:si>
  <x:si>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</x:si>
  <x:si>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</x:si>
  <x:si>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</x:si>
  <x:si>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</x:si>
  <x:si>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</x:si>
  <x:si>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</x:si>
  <x:si>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</x:si>
  <x:si>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</x:si>
  <x:si>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</x:si>
  <x:si>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</x:si>
  <x:si>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</x:si>
  <x:si>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</x:si>
  <x:si>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</x:si>
  <x:si>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</x:si>
  <x:si>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</x:si>
  <x:si>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</x:si>
  <x:si>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</x:si>
  <x:si>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</x:si>
  <x:si>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</x:si>
  <x:si>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</x:si>
  <x:si>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id_32906_10_38755_1_B</x:t>
  </x:si>
  <x:si>
    <x:t>Svår klass seniorlag</x:t>
  </x:si>
  <x:si>
    <x:t>Grund 3*</x:t>
  </x:si>
  <x:si>
    <x:t>Erik Lamvert</x:t>
  </x:si>
  <x:si>
    <x:t>Mirabel Lennerman</x:t>
  </x:si>
  <x:si>
    <x:t>10</x:t>
  </x:si>
  <x:si>
    <x:t>Uppsala</x:t>
  </x:si>
  <x:si>
    <x:t>Thea Lundell</x:t>
  </x:si>
  <x:si>
    <x:t>Grund</x:t>
  </x:si>
  <x:si>
    <x:t>Team Aquila</x:t>
  </x:si>
  <x:si>
    <x:t>Vera Bjarnemo</x:t>
  </x:si>
  <x:si>
    <x:t>Uppsala Voltige</x:t>
  </x:si>
  <x:si>
    <x:t>Elvira Androos Lööv</x:t>
  </x:si>
  <x:si>
    <x:t>SE</x:t>
  </x:si>
  <x:si>
    <x:t>Tilda Månsson</x:t>
  </x:si>
  <x:si>
    <x:t>Rörlig Movie</x:t>
  </x:si>
  <x:si>
    <x:t>7)</x:t>
  </x:si>
  <x:si>
    <x:t>-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</x:si>
  <x:si>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</x:si>
  <x:si>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</x:si>
  <x:si>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</x:si>
  <x:si>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</x:si>
  <x:si>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</x:si>
  <x:si>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</x:si>
  <x:si>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</x:si>
  <x:si>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</x:si>
  <x:si>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</x:si>
  <x:si>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</x:si>
  <x:si>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</x:si>
  <x:si>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</x:si>
  <x:si>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</x:si>
  <x:si>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</x:si>
  <x:si>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</x:si>
  <x:si>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</x:si>
  <x:si>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Matilda Lancing</x:t>
  </x:si>
  <x:si>
    <x:t>Svår klass juniorlag</x:t>
  </x:si>
  <x:si>
    <x:t>Grund 2*</x:t>
  </x:si>
  <x:si>
    <x:t>Grundsits</x:t>
  </x:si>
  <x:si>
    <x:t>Sidhopp del 1, följt av avgång inåt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</x:si>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</x:sst>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2" customFormat="1" ht="6" customHeight="1" thickBot="1" x14ac:dyDescent="0.35">
      <x:c r="U1" s="1" t="s">
        <x:v>97</x:v>
      </x:c>
    </x:row>
    <x:row r="2" spans="1:22" customFormat="1" ht="24" customHeight="1" thickBot="1" x14ac:dyDescent="0.4">
      <x:c r="A2" s="7" t="s">
        <x:v>98</x:v>
      </x:c>
      <x:c r="K2" s="1" t="s">
        <x:v>49</x:v>
      </x:c>
      <x:c r="R2" s="9" t="s"/>
      <x:c r="S2" s="13" t="s">
        <x:v>41</x:v>
      </x:c>
      <x:c r="T2" s="10" t="s"/>
      <x:c r="U2" s="11" t="s"/>
      <x:c r="V2" s="11" t="n">
        <x:v>3</x:v>
      </x:c>
    </x:row>
    <x:row r="3" spans="1:22" customFormat="1" ht="24" customHeight="1" thickBot="1" x14ac:dyDescent="0.35">
      <x:c r="A3" s="4" t="s">
        <x:v>99</x:v>
      </x:c>
      <x:c r="J3" s="165">
        <x:f>IF(L3&lt;&gt;0,J2+1,"0")</x:f>
      </x:c>
      <x:c r="K3" s="2" t="s">
        <x:v>51</x:v>
      </x:c>
      <x:c r="L3" s="40" t="s">
        <x:v>100</x:v>
      </x:c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>
        <x:v>38</x:v>
      </x:c>
    </x:row>
    <x:row r="4" spans="1:22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101</x:v>
      </x:c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>
        <x:v>102</x:v>
      </x:c>
    </x:row>
    <x:row r="5" spans="1:22" customFormat="1" ht="24" customHeight="1" thickBot="1" x14ac:dyDescent="0.35">
      <x:c r="A5" s="12" t="s">
        <x:v>46</x:v>
      </x:c>
      <x:c r="B5" s="12" t="s"/>
      <x:c r="C5" s="92" t="s">
        <x:v>103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104</x:v>
      </x:c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>
        <x:v>105</x:v>
      </x:c>
    </x:row>
    <x:row r="6" spans="1:22" customFormat="1" ht="19.5" customHeight="1" x14ac:dyDescent="0.3">
      <x:c r="A6" s="12" t="s">
        <x:v>48</x:v>
      </x:c>
      <x:c r="B6" s="12" t="s"/>
      <x:c r="C6" s="92" t="s">
        <x:v>106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107</x:v>
      </x:c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>
        <x:v>108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109</x:v>
      </x:c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>
        <x:v>110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>
        <x:v>111</x:v>
      </x:c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>
        <x:v>112</x:v>
      </x:c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>
        <x:v>114</x:v>
      </x:c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117</x:v>
      </x:c>
    </x:row>
    <x:row r="15" spans="1:22" s="0" customFormat="1" ht="20.1" customHeight="1" x14ac:dyDescent="0.3">
      <x:c r="A15" s="219" t="s"/>
      <x:c r="B15" s="220" t="s">
        <x:v>118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  <x:c r="U15" s="0" t="s"/>
    </x:row>
    <x:row r="16" spans="1:22" customFormat="1" ht="20.1" customHeight="1" x14ac:dyDescent="0.3">
      <x:c r="A16" s="219" t="s"/>
      <x:c r="B16" s="69" t="s">
        <x:v>119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120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121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122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123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124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125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126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128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129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130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>
        <x:v>131</x:v>
      </x:c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16384" width="9.132812" style="1" customWidth="1"/>
  </x:cols>
  <x:sheetData>
    <x:row r="1" spans="1:20" customFormat="1" ht="6" customHeight="1" thickBot="1" x14ac:dyDescent="0.35"/>
    <x:row r="2" spans="1:20" customFormat="1" ht="24" customHeight="1" thickBot="1" x14ac:dyDescent="0.4">
      <x:c r="A2" s="7" t="s">
        <x:v>132</x:v>
      </x:c>
      <x:c r="K2" s="1" t="s">
        <x:v>49</x:v>
      </x:c>
      <x:c r="P2" s="9" t="s"/>
      <x:c r="Q2" s="13" t="s">
        <x:v>41</x:v>
      </x:c>
      <x:c r="R2" s="10" t="s"/>
      <x:c r="S2" s="11" t="s"/>
      <x:c r="T2" s="11" t="s"/>
    </x:row>
    <x:row r="3" spans="1:20" customFormat="1" ht="24" customHeight="1" thickBot="1" x14ac:dyDescent="0.35">
      <x:c r="A3" s="4" t="s">
        <x:v>133</x:v>
      </x:c>
      <x:c r="J3" s="165">
        <x:f>IF(L3&lt;&gt;0,I2+1,"0")</x:f>
      </x:c>
      <x:c r="K3" s="2" t="s">
        <x:v>51</x:v>
      </x:c>
      <x:c r="L3" s="40" t="s"/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/>
    </x:row>
    <x:row r="4" spans="1:20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/>
    </x:row>
    <x:row r="5" spans="1:20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/>
    </x:row>
    <x:row r="6" spans="1:2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0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0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0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30" t="s"/>
    </x:row>
    <x:row r="10" spans="1:20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30" t="s"/>
    </x:row>
    <x:row r="11" spans="1:20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30" t="s"/>
    </x:row>
    <x:row r="12" spans="1:20" customFormat="1" ht="17.1" customHeight="1" x14ac:dyDescent="0.3">
      <x:c r="C12" s="14" t="s"/>
    </x:row>
    <x:row r="13" spans="1:20" customFormat="1" ht="21.75" customHeight="1" x14ac:dyDescent="0.3">
      <x:c r="A13" s="15" t="s"/>
      <x:c r="B13" s="16" t="s"/>
    </x:row>
    <x:row r="14" spans="1:20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117</x:v>
      </x:c>
    </x:row>
    <x:row r="15" spans="1:20" customFormat="1" ht="20.1" customHeight="1" x14ac:dyDescent="0.3">
      <x:c r="A15" s="219" t="s"/>
      <x:c r="B15" s="220" t="s">
        <x:v>118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0" customFormat="1" ht="20.1" customHeight="1" x14ac:dyDescent="0.3">
      <x:c r="A16" s="219" t="s"/>
      <x:c r="B16" s="69" t="s">
        <x:v>134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0" customFormat="1" ht="20.1" customHeight="1" x14ac:dyDescent="0.3">
      <x:c r="B17" s="69" t="s">
        <x:v>119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0" customFormat="1" ht="20.1" customHeight="1" x14ac:dyDescent="0.3">
      <x:c r="B18" s="230" t="s">
        <x:v>120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0" customFormat="1" ht="20.1" customHeight="1" x14ac:dyDescent="0.3">
      <x:c r="B19" s="226" t="s">
        <x:v>121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0" customFormat="1" ht="20.1" customHeight="1" x14ac:dyDescent="0.3">
      <x:c r="B20" s="69" t="s">
        <x:v>122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0" customFormat="1" ht="20.1" customHeight="1" x14ac:dyDescent="0.3">
      <x:c r="B21" s="69" t="s">
        <x:v>123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0" s="0" customFormat="1" ht="24" customHeight="1" x14ac:dyDescent="0.3">
      <x:c r="A22" s="0" t="s"/>
      <x:c r="B22" s="231" t="s">
        <x:v>135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0" customFormat="1" ht="14.25" customHeight="1" x14ac:dyDescent="0.3">
      <x:c r="M23" s="1" t="s">
        <x:v>126</x:v>
      </x:c>
      <x:c r="O23" s="1">
        <x:f>MAX(J3:J11)</x:f>
      </x:c>
    </x:row>
    <x:row r="24" spans="1:20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SUM(O15:O22)</x:f>
      </x:c>
    </x:row>
    <x:row r="25" spans="1:20" customFormat="1" ht="18" customHeight="1" thickBot="1" x14ac:dyDescent="0.35">
      <x:c r="B25" s="25" t="s"/>
      <x:c r="H25" s="26" t="s"/>
      <x:c r="M25" s="24" t="s"/>
      <x:c r="N25" s="24" t="s">
        <x:v>128</x:v>
      </x:c>
      <x:c r="O25" s="27">
        <x:f>IFERROR(ROUND(O24/O23,3),0)</x:f>
      </x:c>
    </x:row>
    <x:row r="26" spans="1:20" x14ac:dyDescent="0.3">
      <x:c r="B26" s="25" t="s"/>
      <x:c r="H26" s="26" t="s"/>
      <x:c r="L26" s="28" t="s"/>
      <x:c r="M26" s="29" t="s"/>
      <x:c r="O26" s="30" t="s"/>
    </x:row>
    <x:row r="27" spans="1:20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129</x:v>
      </x:c>
      <x:c r="O27" s="29" t="s"/>
    </x:row>
    <x:row r="28" spans="1:20" customFormat="1" ht="9.75" customHeight="1" thickBot="1" x14ac:dyDescent="0.35"/>
    <x:row r="29" spans="1:20" customFormat="1" ht="22.5" customHeight="1" thickBot="1" x14ac:dyDescent="0.35">
      <x:c r="F29" s="38" t="s"/>
      <x:c r="H29" s="33" t="s"/>
      <x:c r="L29" s="66" t="s">
        <x:v>130</x:v>
      </x:c>
      <x:c r="M29" s="72" t="s"/>
      <x:c r="N29" s="73" t="s"/>
      <x:c r="O29" s="37">
        <x:f>ROUND(+O25/8,3)</x:f>
      </x:c>
    </x:row>
    <x:row r="30" spans="1:20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0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0" customFormat="1" ht="18" customHeight="1" x14ac:dyDescent="0.3">
      <x:c r="A32" s="2" t="s">
        <x:v>95</x:v>
      </x:c>
      <x:c r="B32" s="40" t="s"/>
      <x:c r="C32" s="40" t="s"/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0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0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136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105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113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115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116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117</x:v>
      </x:c>
    </x:row>
    <x:row r="16" spans="1:21" customFormat="1" ht="20.1" customHeight="1" x14ac:dyDescent="0.3">
      <x:c r="A16" s="219" t="s"/>
      <x:c r="B16" s="220" t="s">
        <x:v>118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119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123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137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139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126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127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140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141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142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143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 t="s"/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146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160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146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161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113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115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116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146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09" t="s">
        <x:v>162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151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154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155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156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157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146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158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159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113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115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116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167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170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171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172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175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176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178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117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113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115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116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181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182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183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185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186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188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117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2026-03-15T11:25:24.8402470Z</dcterms:modified>
</coreProperties>
</file>