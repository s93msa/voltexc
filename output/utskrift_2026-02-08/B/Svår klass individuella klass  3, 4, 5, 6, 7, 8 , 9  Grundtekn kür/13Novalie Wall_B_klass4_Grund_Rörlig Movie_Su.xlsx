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3" activeTab="3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<x:sst xmlns:x="http://schemas.openxmlformats.org/spreadsheetml/2006/main" count="221" uniqueCount="221">
  <x:si>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</x:si>
  <x:si>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</x:si>
  <x:si>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</x:si>
  <x:si>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</x:si>
  <x:si>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</x:si>
  <x:si>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</x:si>
  <x:si>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</x:si>
  <x:si>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</x:si>
  <x:si>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</x:si>
  <x:si>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</x:si>
  <x:si>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</x:si>
  <x:si>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</x:si>
  <x:si>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</x:si>
  <x:si>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</x:si>
  <x:si>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</x:si>
  <x:si>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</x:si>
  <x:si>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</x:si>
  <x:si>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</x:si>
  <x:si>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</x:si>
  <x:si>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</x:si>
  <x:si>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</x:si>
  <x:si>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</x:si>
  <x:si>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</x:si>
  <x:si>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</x:si>
  <x:si>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</x:si>
  <x:si>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</x:si>
  <x:si>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</x:si>
  <x:si>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</x:si>
  <x:si>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</x:si>
  <x:si>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</x:si>
  <x:si>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</x:si>
  <x:si>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</x:si>
  <x:si>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</x:si>
  <x:si>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</x:si>
  <x:si>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</x:si>
  <x:si>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</x:si>
  <x:si>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</x:si>
  <x:si>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</x:si>
  <x:si>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</x:si>
  <x:si>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</x:si>
  <x:si>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</x:si>
  <x:si>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</x:si>
  <x:si>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</x:si>
  <x:si>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</x:si>
  <x:si>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</x:si>
  <x:si>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</x:si>
  <x:si>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</x:si>
  <x:si>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</x:si>
  <x:si>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</x:si>
  <x:si>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</x:si>
  <x:si>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</x:si>
  <x:si>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</x:si>
  <x:si>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</x:si>
  <x:si>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</x:si>
  <x:si>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</x:si>
  <x:si>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</x:si>
  <x:si>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</x:si>
  <x:si>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</x:si>
  <x:si>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</x:si>
  <x:si>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</x:si>
  <x:si>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</x:si>
  <x:si>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</x:si>
  <x:si>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</x:si>
  <x:si>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</x:si>
  <x:si>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</x:si>
  <x:si>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</x:si>
  <x:si>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</x:si>
  <x:si>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</x:si>
  <x:si>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</x:si>
  <x:si>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</x:si>
  <x:si>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</x:si>
  <x:si>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</x:si>
  <x:si>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</x:si>
  <x:si>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</x:si>
  <x:si>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</x:si>
  <x:si>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</x:si>
  <x:si>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</x:si>
  <x:si>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</x:si>
  <x:si>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</x:si>
  <x:si>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</x:si>
  <x:si>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</x:si>
  <x:si>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</x:si>
  <x:si>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</x:si>
  <x:si>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</x:si>
  <x:si>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</x:si>
  <x:si>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</x:si>
  <x:si>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</x:si>
  <x:si>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</x:si>
  <x:si>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</x:si>
  <x:si>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</x:si>
  <x:si>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</x:si>
  <x:si>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</x:si>
  <x:si>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</x:si>
  <x:si>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</x:si>
  <x:si>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</x:si>
  <x:si>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</x:si>
  <x:si>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</x:si>
  <x:si>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</x:si>
  <x:si>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</x:si>
  <x:si>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</x:si>
  <x:si>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</x:si>
  <x:si>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</x:si>
  <x:si>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</x:si>
  <x:si>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</x:si>
  <x:si>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</x:si>
  <x:si>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</x:si>
  <x:si>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id_53908_4_38747_1_B</x:t>
  </x:si>
  <x:si>
    <x:t>Individuell 2*</x:t>
  </x:si>
  <x:si>
    <x:t>4</x:t>
  </x:si>
  <x:si>
    <x:t>Uppsala</x:t>
  </x:si>
  <x:si>
    <x:t>Novalie Wall</x:t>
  </x:si>
  <x:si>
    <x:t>Uppsala Voltige</x:t>
  </x:si>
  <x:si>
    <x:t>Vit 13</x:t>
  </x:si>
  <x:si>
    <x:t>SE</x:t>
  </x:si>
  <x:si>
    <x:t>Rörlig Movie</x:t>
  </x:si>
  <x:si>
    <x:t>-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</x:si>
  <x:si>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</x:si>
  <x:si>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</x:si>
  <x:si>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</x:si>
  <x:si>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</x:si>
  <x:si>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</x:si>
  <x:si>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Anna Andersson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</x:si>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</x:sst>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008000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106</x:v>
      </x:c>
    </x:row>
    <x:row r="2" spans="1:21" customFormat="1" ht="24" customHeight="1" thickBot="1" x14ac:dyDescent="0.4">
      <x:c r="A2" s="3" t="s">
        <x:v>107</x:v>
      </x:c>
      <x:c r="H2" s="13" t="s"/>
      <x:c r="I2" s="14" t="s">
        <x:v>56</x:v>
      </x:c>
      <x:c r="J2" s="15" t="s"/>
      <x:c r="K2" s="16" t="s"/>
      <x:c r="L2" s="16" t="n">
        <x:v>13</x:v>
      </x:c>
    </x:row>
    <x:row r="3" spans="1:21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>
        <x:v>49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108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109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43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110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242" t="s">
        <x:v>111</x:v>
      </x:c>
      <x:c r="D7" s="242" t="s"/>
      <x:c r="E7" s="242" t="s"/>
      <x:c r="F7" s="242" t="s"/>
      <x:c r="J7" s="22" t="s">
        <x:v>65</x:v>
      </x:c>
      <x:c r="K7" s="31" t="s"/>
      <x:c r="L7" s="27" t="s">
        <x:v>112</x:v>
      </x:c>
    </x:row>
    <x:row r="8" spans="1:21" customFormat="1" ht="17.1" customHeight="1" x14ac:dyDescent="0.3">
      <x:c r="A8" s="2" t="s">
        <x:v>66</x:v>
      </x:c>
      <x:c r="B8" s="2" t="s"/>
      <x:c r="C8" s="29" t="s">
        <x:v>113</x:v>
      </x:c>
      <x:c r="D8" s="29" t="s"/>
      <x:c r="E8" s="29" t="s"/>
      <x:c r="F8" s="29" t="s"/>
      <x:c r="L8" s="518" t="s"/>
    </x:row>
    <x:row r="9" spans="1:21" customFormat="1" ht="17.1" customHeight="1" x14ac:dyDescent="0.3">
      <x:c r="A9" s="11" t="s">
        <x:v>67</x:v>
      </x:c>
      <x:c r="B9" s="11" t="s"/>
      <x:c r="C9" s="242" t="s">
        <x:v>114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115</x:v>
      </x:c>
      <x:c r="D10" s="242" t="s"/>
      <x:c r="E10" s="242" t="s"/>
      <x:c r="F10" s="242" t="s"/>
    </x:row>
    <x:row r="11" spans="1:21" customFormat="1" ht="17.1" customHeight="1" x14ac:dyDescent="0.3"/>
    <x:row r="12" spans="1:21" customFormat="1" ht="17.1" customHeight="1" x14ac:dyDescent="0.3"/>
    <x:row r="13" spans="1:21" customFormat="1" ht="39.75" customHeight="1" x14ac:dyDescent="0.3"/>
    <x:row r="14" spans="1:21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21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  <x:c r="U15" s="0" t="s"/>
    </x:row>
    <x:row r="16" spans="1:21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21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21" customFormat="1" ht="20.1" customHeight="1" x14ac:dyDescent="0.3">
      <x:c r="A18" s="211" t="s">
        <x:v>116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21" customFormat="1" ht="20.1" customHeight="1" x14ac:dyDescent="0.3">
      <x:c r="A19" s="211" t="s">
        <x:v>117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21" customFormat="1" ht="20.1" customHeight="1" x14ac:dyDescent="0.3">
      <x:c r="A20" s="211" t="s">
        <x:v>118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21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21" customFormat="1" ht="20.1" customHeight="1" x14ac:dyDescent="0.3">
      <x:c r="A22" s="211" t="s">
        <x:v>119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21" customFormat="1" ht="20.1" customHeight="1" x14ac:dyDescent="0.3">
      <x:c r="K23" s="37" t="s"/>
      <x:c r="L23" s="37" t="s"/>
    </x:row>
    <x:row r="24" spans="1:21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21" customFormat="1" ht="18.75" customHeight="1" x14ac:dyDescent="0.3">
      <x:c r="K25" s="38" t="s">
        <x:v>120</x:v>
      </x:c>
      <x:c r="L25" s="39" t="s"/>
    </x:row>
    <x:row r="26" spans="1:21" customFormat="1" ht="18.75" customHeight="1" thickBot="1" x14ac:dyDescent="0.35">
      <x:c r="F26" s="40" t="s"/>
      <x:c r="I26" s="38" t="s"/>
      <x:c r="J26" s="41" t="s"/>
    </x:row>
    <x:row r="27" spans="1:21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21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21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21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21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21" customFormat="1" ht="18" customHeight="1" x14ac:dyDescent="0.3">
      <x:c r="A32" s="2" t="s">
        <x:v>90</x:v>
      </x:c>
      <x:c r="B32" s="29" t="s"/>
      <x:c r="C32" s="29" t="s">
        <x:v>121</x:v>
      </x:c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21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122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116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117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118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123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124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120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125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128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129</x:v>
      </x:c>
    </x:row>
    <x:row r="17" spans="1:12" customFormat="1" ht="15" customHeight="1" thickBot="1" x14ac:dyDescent="0.35">
      <x:c r="H17" s="170" t="s"/>
      <x:c r="I17" s="70" t="s"/>
      <x:c r="K17" s="171" t="s">
        <x:v>130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131</x:v>
      </x:c>
    </x:row>
    <x:row r="25" spans="1:12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128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135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136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128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129</x:v>
      </x:c>
    </x:row>
    <x:row r="17" spans="1:16140" customFormat="1" ht="15" customHeight="1" x14ac:dyDescent="0.3">
      <x:c r="G17" s="68" t="s"/>
      <x:c r="H17" s="69" t="s">
        <x:v>138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139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140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141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142</x:v>
      </x:c>
      <x:c r="C21" s="54" t="s"/>
      <x:c r="D21" s="55" t="s"/>
      <x:c r="E21" s="520">
        <x:f>LEN(A$13)-LEN(SUBSTITUTE(A$13,"E",""))+LEN(A$13)-LEN(SUBSTITUTE(A$13,"L",""))</x:f>
      </x:c>
      <x:c r="F21" s="107" t="s">
        <x:v>143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131</x:v>
      </x:c>
    </x:row>
    <x:row r="25" spans="1:16140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128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135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136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146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128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129</x:v>
      </x:c>
    </x:row>
    <x:row r="17" spans="1:16140" customFormat="1" ht="15" customHeight="1" x14ac:dyDescent="0.3">
      <x:c r="G17" s="68" t="s"/>
      <x:c r="H17" s="69" t="s">
        <x:v>138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139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140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141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142</x:v>
      </x:c>
      <x:c r="C21" s="54" t="s"/>
      <x:c r="D21" s="55" t="s"/>
      <x:c r="E21" s="520">
        <x:f>LEN(A$13)-LEN(SUBSTITUTE(A$13,"E",""))+LEN(A$13)-LEN(SUBSTITUTE(A$13,"L",""))</x:f>
      </x:c>
      <x:c r="F21" s="107" t="s">
        <x:v>143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131</x:v>
      </x:c>
    </x:row>
    <x:row r="25" spans="1:16140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128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135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136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148</x:v>
      </x:c>
    </x:row>
    <x:row r="13" spans="1:16141" customFormat="1" ht="69" customHeight="1" thickBot="1" x14ac:dyDescent="0.35">
      <x:c r="A13" s="279" t="s">
        <x:v>149</x:v>
      </x:c>
      <x:c r="B13" s="430" t="s">
        <x:v>150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152</x:v>
      </x:c>
      <x:c r="B14" s="416" t="s">
        <x:v>153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154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155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156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157</x:v>
      </x:c>
      <x:c r="B16" s="424" t="s">
        <x:v>158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159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161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148</x:v>
      </x:c>
    </x:row>
    <x:row r="13" spans="1:16141" s="0" customFormat="1" ht="73.5" customHeight="1" thickBot="1" x14ac:dyDescent="0.35">
      <x:c r="A13" s="279" t="s">
        <x:v>149</x:v>
      </x:c>
      <x:c r="B13" s="430" t="s">
        <x:v>163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152</x:v>
      </x:c>
      <x:c r="B14" s="416" t="s">
        <x:v>164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165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166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167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157</x:v>
      </x:c>
      <x:c r="B16" s="433" t="s">
        <x:v>168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169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171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146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148</x:v>
      </x:c>
    </x:row>
    <x:row r="13" spans="1:16141" customFormat="1" ht="71.25" customHeight="1" thickBot="1" x14ac:dyDescent="0.35">
      <x:c r="A13" s="279" t="s">
        <x:v>149</x:v>
      </x:c>
      <x:c r="B13" s="430" t="s">
        <x:v>172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152</x:v>
      </x:c>
      <x:c r="B14" s="416" t="s">
        <x:v>173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174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175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167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157</x:v>
      </x:c>
      <x:c r="B16" s="433" t="s">
        <x:v>176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177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178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179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180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181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181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188</x:v>
      </x:c>
      <x:c r="B23" s="529" t="s"/>
      <x:c r="C23" s="530" t="s"/>
      <x:c r="D23" s="531" t="s">
        <x:v>144</x:v>
      </x:c>
      <x:c r="E23" s="532" t="s"/>
      <x:c r="F23" s="533" t="s"/>
      <x:c r="G23" s="534" t="s">
        <x:v>189</x:v>
      </x:c>
      <x:c r="H23" s="535">
        <x:f>IFERROR(IF(ROUND(C23/F23,3)&gt;10,10,ROUND(C23/F23,3)),10)</x:f>
      </x:c>
      <x:c r="I23" s="536" t="s">
        <x:v>190</x:v>
      </x:c>
      <x:c r="J23" s="534" t="s">
        <x:v>189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192</x:v>
      </x:c>
      <x:c r="L27" s="543">
        <x:f>SUM(L15:L25)</x:f>
      </x:c>
    </x:row>
    <x:row r="28" spans="1:18" customFormat="1" ht="18.75" customHeight="1" x14ac:dyDescent="0.3">
      <x:c r="L28" s="544" t="s">
        <x:v>193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194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195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181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196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188</x:v>
      </x:c>
      <x:c r="B23" s="529" t="s"/>
      <x:c r="C23" s="530" t="s"/>
      <x:c r="D23" s="531" t="s">
        <x:v>144</x:v>
      </x:c>
      <x:c r="E23" s="532" t="s"/>
      <x:c r="F23" s="533" t="s"/>
      <x:c r="G23" s="534" t="s">
        <x:v>189</x:v>
      </x:c>
      <x:c r="H23" s="535">
        <x:f>IFERROR(IF(ROUND(C23/F23,3)&gt;10,10,ROUND(C23/F23,3)),10)</x:f>
      </x:c>
      <x:c r="I23" s="536" t="s">
        <x:v>190</x:v>
      </x:c>
      <x:c r="J23" s="534" t="s">
        <x:v>189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192</x:v>
      </x:c>
      <x:c r="L27" s="543">
        <x:f>SUM(L15:L25)</x:f>
      </x:c>
    </x:row>
    <x:row r="28" spans="1:18" customFormat="1" ht="18.75" customHeight="1" x14ac:dyDescent="0.3">
      <x:c r="L28" s="544" t="s">
        <x:v>197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194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198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199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200</x:v>
      </x:c>
      <x:c r="C13" s="237" t="s">
        <x:v>201</x:v>
      </x:c>
      <x:c r="D13" s="238" t="s">
        <x:v>202</x:v>
      </x:c>
      <x:c r="E13" s="463" t="s"/>
      <x:c r="F13" s="237" t="s">
        <x:v>203</x:v>
      </x:c>
      <x:c r="G13" s="237" t="s">
        <x:v>204</x:v>
      </x:c>
      <x:c r="H13" s="238" t="s">
        <x:v>205</x:v>
      </x:c>
      <x:c r="I13" s="239" t="s">
        <x:v>40</x:v>
      </x:c>
      <x:c r="J13" s="466" t="s">
        <x:v>206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148</x:v>
      </x:c>
    </x:row>
    <x:row r="17" spans="1:16127" customFormat="1" ht="61.9" customHeight="1" thickBot="1" x14ac:dyDescent="0.35">
      <x:c r="A17" s="279" t="s">
        <x:v>149</x:v>
      </x:c>
      <x:c r="B17" s="430" t="s">
        <x:v>207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151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208</x:v>
      </x:c>
      <x:c r="B18" s="458" t="s">
        <x:v>209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210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211</x:v>
      </x:c>
      <x:c r="B19" s="470" t="s">
        <x:v>212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213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214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215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216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199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200</x:v>
      </x:c>
      <x:c r="C13" s="237" t="s">
        <x:v>201</x:v>
      </x:c>
      <x:c r="D13" s="238" t="s">
        <x:v>202</x:v>
      </x:c>
      <x:c r="E13" s="463" t="s"/>
      <x:c r="F13" s="237" t="s">
        <x:v>203</x:v>
      </x:c>
      <x:c r="G13" s="237" t="s"/>
      <x:c r="H13" s="238" t="s"/>
      <x:c r="I13" s="239" t="s">
        <x:v>40</x:v>
      </x:c>
      <x:c r="J13" s="466" t="s">
        <x:v>206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148</x:v>
      </x:c>
    </x:row>
    <x:row r="17" spans="1:16127" customFormat="1" ht="61.9" customHeight="1" thickBot="1" x14ac:dyDescent="0.35">
      <x:c r="A17" s="279" t="s">
        <x:v>149</x:v>
      </x:c>
      <x:c r="B17" s="430" t="s">
        <x:v>217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151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208</x:v>
      </x:c>
      <x:c r="B18" s="474" t="s">
        <x:v>218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210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211</x:v>
      </x:c>
      <x:c r="B19" s="470" t="s">
        <x:v>219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213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220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215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2026-03-15T11:15:47.8609121Z</dcterms:modified>
</coreProperties>
</file>