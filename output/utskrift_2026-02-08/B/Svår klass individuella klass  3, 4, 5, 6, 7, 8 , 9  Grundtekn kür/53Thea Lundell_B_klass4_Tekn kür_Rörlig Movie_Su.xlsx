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14" activeTab="14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<x:sst xmlns:x="http://schemas.openxmlformats.org/spreadsheetml/2006/main" count="225" uniqueCount="225">
  <x:si>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</x:si>
  <x:si>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</x:si>
  <x:si>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</x:si>
  <x:si>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</x:si>
  <x:si>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</x:si>
  <x:si>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</x:si>
  <x:si>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</x:si>
  <x:si>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</x:si>
  <x:si>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</x:si>
  <x:si>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</x:si>
  <x:si>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</x:si>
  <x:si>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</x:si>
  <x:si>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</x:si>
  <x:si>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</x:si>
  <x:si>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</x:si>
  <x:si>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</x:si>
  <x:si>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</x:si>
  <x:si>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</x:si>
  <x:si>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</x:si>
  <x:si>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</x:si>
  <x:si>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</x:si>
  <x:si>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</x:si>
  <x:si>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</x:si>
  <x:si>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</x:si>
  <x:si>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</x:si>
  <x:si>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</x:si>
  <x:si>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</x:si>
  <x:si>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</x:si>
  <x:si>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</x:si>
  <x:si>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</x:si>
  <x:si>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</x:si>
  <x:si>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</x:si>
  <x:si>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</x:si>
  <x:si>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</x:si>
  <x:si>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</x:si>
  <x:si>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</x:si>
  <x:si>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</x:si>
  <x:si>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</x:si>
  <x:si>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</x:si>
  <x:si>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</x:si>
  <x:si>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</x:si>
  <x:si>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</x:si>
  <x:si>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</x:si>
  <x:si>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</x:si>
  <x:si>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</x:si>
  <x:si>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</x:si>
  <x:si>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</x:si>
  <x:si>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</x:si>
  <x:si>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</x:si>
  <x:si>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</x:si>
  <x:si>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</x:si>
  <x:si>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</x:si>
  <x:si>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</x:si>
  <x:si>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</x:si>
  <x:si>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</x:si>
  <x:si>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</x:si>
  <x:si>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</x:si>
  <x:si>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</x:si>
  <x:si>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</x:si>
  <x:si>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</x:si>
  <x:si>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</x:si>
  <x:si>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</x:si>
  <x:si>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</x:si>
  <x:si>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</x:si>
  <x:si>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</x:si>
  <x:si>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</x:si>
  <x:si>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</x:si>
  <x:si>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</x:si>
  <x:si>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</x:si>
  <x:si>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</x:si>
  <x:si>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</x:si>
  <x:si>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</x:si>
  <x:si>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</x:si>
  <x:si>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</x:si>
  <x:si>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</x:si>
  <x:si>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</x:si>
  <x:si>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</x:si>
  <x:si>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</x:si>
  <x:si>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</x:si>
  <x:si>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</x:si>
  <x:si>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</x:si>
  <x:si>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</x:si>
  <x:si>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</x:si>
  <x:si>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</x:si>
  <x:si>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</x:si>
  <x:si>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</x:si>
  <x:si>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</x:si>
  <x:si>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</x:si>
  <x:si>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</x:si>
  <x:si>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</x:si>
  <x:si>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</x:si>
  <x:si>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</x:si>
  <x:si>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</x:si>
  <x:si>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</x:si>
  <x:si>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</x:si>
  <x:si>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</x:si>
  <x:si>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</x:si>
  <x:si>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</x:si>
  <x:si>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</x:si>
  <x:si>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</x:si>
  <x:si>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</x:si>
  <x:si>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</x:si>
  <x:si>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</x:si>
  <x:si>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</x:si>
  <x:si>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</x:si>
  <x:si>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</x:si>
  <x:si>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</x:si>
  <x:si>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</x:si>
  <x:si>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</x:si>
  <x:si>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</x:si>
  <x:si>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</x:si>
  <x:si>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</x:si>
  <x:si>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</x:si>
  <x:si>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</x:si>
  <x:si>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</x:si>
  <x:si>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</x:si>
  <x:si>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</x:si>
  <x:si>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</x:si>
  <x:si>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</x:si>
  <x:si>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</x:si>
  <x:si>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</x:si>
  <x:si>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</x:si>
  <x:si>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</x:si>
  <x:si>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</x:si>
  <x:si>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</x:si>
  <x:si>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</x:si>
  <x:si>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</x:si>
  <x:si>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</x:si>
  <x:si>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</x:si>
  <x:si>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</x:si>
  <x:si>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</x:si>
  <x:si>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</x:si>
  <x:si>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</x:si>
  <x:si>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</x:si>
  <x:si>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</x:si>
  <x:si>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</x:si>
  <x:si>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</x:si>
  <x:si>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</x:si>
  <x:si>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</x:si>
  <x:si>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</x:si>
  <x:si>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</x:si>
  <x:si>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</x:si>
  <x:si>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</x:si>
  <x:si>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</x:si>
  <x:si>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</x:si>
  <x:si>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</x:si>
  <x:si>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</x:si>
  <x:si>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</x:si>
  <x:si>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</x:si>
  <x:si>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</x:si>
  <x:si>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</x:si>
  <x:si>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</x:si>
  <x:si>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</x:si>
  <x:si>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</x:si>
  <x:si>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</x:si>
  <x:si>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</x:si>
  <x:si>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</x:si>
  <x:si>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</x:si>
  <x:si>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</x:si>
  <x:si>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</x:si>
  <x:si>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</x:si>
  <x:si>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</x:si>
  <x:si>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</x:si>
  <x:si>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</x:si>
  <x:si>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</x:si>
  <x:si>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</x:si>
  <x:si>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</x:si>
  <x:si>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</x:si>
  <x:si>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</x:si>
  <x:si>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</x:si>
  <x:si>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</x:si>
  <x:si>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</x:si>
  <x:si>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</x:si>
  <x:si>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</x:si>
  <x:si>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</x:si>
  <x:si>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</x:si>
  <x:si>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</x:si>
  <x:si>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</x:si>
  <x:si>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</x:si>
  <x:si>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</x:si>
  <x:si>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</x:si>
  <x:si>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</x:si>
  <x:si>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</x:si>
  <x:si>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</x:si>
  <x:si>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</x:si>
  <x:si>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id_53909_4_38752_2_A</x:t>
  </x:si>
  <x:si>
    <x:t>Individuellt tekniskt test Young Vaulter</x:t>
  </x:si>
  <x:si>
    <x:t>A</x:t>
  </x:si>
  <x:si>
    <x:t>4</x:t>
  </x:si>
  <x:si>
    <x:t>Uppsala</x:t>
  </x:si>
  <x:si>
    <x:t>Tekn kür</x:t>
  </x:si>
  <x:si>
    <x:t>Thea Lundell</x:t>
  </x:si>
  <x:si>
    <x:t>Uppsala Voltige</x:t>
  </x:si>
  <x:si>
    <x:t>Vit 18</x:t>
  </x:si>
  <x:si>
    <x:t>SE</x:t>
  </x:si>
  <x:si>
    <x:t>Rörlig Movie</x:t>
  </x:si>
  <x:si>
    <x:t>-</x:t>
  </x:si>
  <x:si>
    <x:t>Tekniska övningar (3 valfria)</x:t>
  </x:si>
  <x:si>
    <x:t>/ 4</x:t>
  </x:si>
  <x:si>
    <x:t>Matilda Lancing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</x:si>
  <x:si>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</x:si>
  <x:si>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</x:si>
  <x:si>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</x:si>
  <x:si>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</x:si>
  <x:si>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</x:si>
  <x:si>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</x:si>
  <x:si>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</x:si>
  <x:si>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</x:si>
  <x:si>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</x:si>
  <x:si>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</x:si>
  <x:si>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</x:si>
  <x:si>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</x:si>
  <x:si>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</x:si>
  <x:si>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</x:si>
  <x:si>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</x:si>
  <x:si>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</x:si>
  <x:si>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</x:si>
  <x:si>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</x:si>
  <x:si>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id_53909_4_38752_2_B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</x:si>
  <x:si>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</x:si>
  <x:si>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</x:si>
  <x:si>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</x:si>
  <x:si>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</x:si>
  <x:si>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</x:si>
  <x:si>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Anna Andersson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</x:si>
</x:sst>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8000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127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128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129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130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131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132</x:v>
      </x:c>
      <x:c r="C21" s="54" t="s"/>
      <x:c r="D21" s="55" t="s"/>
      <x:c r="E21" s="519">
        <x:f>LEN(A$13)-LEN(SUBSTITUTE(A$13,"E",""))+LEN(A$13)-LEN(SUBSTITUTE(A$13,"L",""))</x:f>
      </x:c>
      <x:c r="F21" s="107" t="s">
        <x:v>133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134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135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136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128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129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130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131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132</x:v>
      </x:c>
      <x:c r="C21" s="54" t="s"/>
      <x:c r="D21" s="55" t="s"/>
      <x:c r="E21" s="519">
        <x:f>LEN(A$13)-LEN(SUBSTITUTE(A$13,"E",""))+LEN(A$13)-LEN(SUBSTITUTE(A$13,"L",""))</x:f>
      </x:c>
      <x:c r="F21" s="107" t="s">
        <x:v>133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134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135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137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138</x:v>
      </x:c>
    </x:row>
    <x:row r="13" spans="1:16141" customFormat="1" ht="69" customHeight="1" thickBot="1" x14ac:dyDescent="0.35">
      <x:c r="A13" s="279" t="s">
        <x:v>139</x:v>
      </x:c>
      <x:c r="B13" s="430" t="s">
        <x:v>140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141</x:v>
      </x:c>
      <x:c r="K13" s="522" t="s"/>
      <x:c r="L13" s="147">
        <x:f>K13*0.2</x:f>
      </x:c>
    </x:row>
    <x:row r="14" spans="1:16141" customFormat="1" ht="93.75" customHeight="1" x14ac:dyDescent="0.3">
      <x:c r="A14" s="232" t="s">
        <x:v>142</x:v>
      </x:c>
      <x:c r="B14" s="416" t="s">
        <x:v>143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144</x:v>
      </x:c>
      <x:c r="K14" s="523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145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146</x:v>
      </x:c>
      <x:c r="K15" s="524" t="s"/>
      <x:c r="L15" s="233">
        <x:f>K15*0.2</x:f>
      </x:c>
    </x:row>
    <x:row r="16" spans="1:16141" customFormat="1" ht="64.5" customHeight="1" x14ac:dyDescent="0.3">
      <x:c r="A16" s="279" t="s">
        <x:v>147</x:v>
      </x:c>
      <x:c r="B16" s="424" t="s">
        <x:v>148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149</x:v>
      </x:c>
      <x:c r="K16" s="525" t="s"/>
      <x:c r="L16" s="145">
        <x:f>K16*0.2</x:f>
      </x:c>
    </x:row>
    <x:row r="17" spans="1:16141" customFormat="1" ht="80.25" customHeight="1" x14ac:dyDescent="0.3">
      <x:c r="A17" s="423" t="s"/>
      <x:c r="B17" s="427" t="s">
        <x:v>150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151</x:v>
      </x:c>
      <x:c r="K17" s="526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152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137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138</x:v>
      </x:c>
    </x:row>
    <x:row r="13" spans="1:16141" s="0" customFormat="1" ht="73.5" customHeight="1" thickBot="1" x14ac:dyDescent="0.35">
      <x:c r="A13" s="279" t="s">
        <x:v>139</x:v>
      </x:c>
      <x:c r="B13" s="430" t="s">
        <x:v>153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141</x:v>
      </x:c>
      <x:c r="K13" s="522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142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3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4" t="s"/>
      <x:c r="L15" s="233">
        <x:f>K15*0.1</x:f>
      </x:c>
    </x:row>
    <x:row r="16" spans="1:16141" customFormat="1" ht="85.5" customHeight="1" x14ac:dyDescent="0.3">
      <x:c r="A16" s="232" t="s">
        <x:v>147</x:v>
      </x:c>
      <x:c r="B16" s="433" t="s">
        <x:v>158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159</x:v>
      </x:c>
      <x:c r="K16" s="525" t="s"/>
      <x:c r="L16" s="145">
        <x:f>K16*0.25</x:f>
      </x:c>
    </x:row>
    <x:row r="17" spans="1:16141" customFormat="1" ht="72" customHeight="1" x14ac:dyDescent="0.3">
      <x:c r="A17" s="344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6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152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136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137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138</x:v>
      </x:c>
    </x:row>
    <x:row r="13" spans="1:16141" customFormat="1" ht="71.25" customHeight="1" thickBot="1" x14ac:dyDescent="0.35">
      <x:c r="A13" s="279" t="s">
        <x:v>139</x:v>
      </x:c>
      <x:c r="B13" s="430" t="s">
        <x:v>162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141</x:v>
      </x:c>
      <x:c r="K13" s="522" t="s"/>
      <x:c r="L13" s="147">
        <x:f>K13*0.2</x:f>
      </x:c>
    </x:row>
    <x:row r="14" spans="1:16141" customFormat="1" ht="85.5" customHeight="1" thickBot="1" x14ac:dyDescent="0.35">
      <x:c r="A14" s="232" t="s">
        <x:v>142</x:v>
      </x:c>
      <x:c r="B14" s="416" t="s">
        <x:v>163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164</x:v>
      </x:c>
      <x:c r="K14" s="523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165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157</x:v>
      </x:c>
      <x:c r="K15" s="524" t="s"/>
      <x:c r="L15" s="233">
        <x:f>K15*0.1</x:f>
      </x:c>
    </x:row>
    <x:row r="16" spans="1:16141" s="0" customFormat="1" ht="85.5" customHeight="1" x14ac:dyDescent="0.3">
      <x:c r="A16" s="232" t="s">
        <x:v>147</x:v>
      </x:c>
      <x:c r="B16" s="433" t="s">
        <x:v>166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167</x:v>
      </x:c>
      <x:c r="K16" s="525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168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169</x:v>
      </x:c>
      <x:c r="K17" s="526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152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170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171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171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172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173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174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175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176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177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7" t="s">
        <x:v>178</x:v>
      </x:c>
      <x:c r="B23" s="528" t="s"/>
      <x:c r="C23" s="529" t="s"/>
      <x:c r="D23" s="530" t="s">
        <x:v>134</x:v>
      </x:c>
      <x:c r="E23" s="531" t="s"/>
      <x:c r="F23" s="532" t="s"/>
      <x:c r="G23" s="533" t="s">
        <x:v>179</x:v>
      </x:c>
      <x:c r="H23" s="534">
        <x:f>IFERROR(IF(ROUND(C23/F23,3)&gt;10,10,ROUND(C23/F23,3)),10)</x:f>
      </x:c>
      <x:c r="I23" s="535" t="s">
        <x:v>180</x:v>
      </x:c>
      <x:c r="J23" s="533" t="s">
        <x:v>179</x:v>
      </x:c>
      <x:c r="K23" s="536">
        <x:f>10-H23</x:f>
      </x:c>
      <x:c r="N23" s="132" t="s"/>
      <x:c r="R23" s="131" t="s"/>
    </x:row>
    <x:row r="24" spans="1:18" customFormat="1" ht="20.1" customHeight="1" thickBot="1" x14ac:dyDescent="0.35">
      <x:c r="A24" s="537" t="s">
        <x:v>118</x:v>
      </x:c>
      <x:c r="B24" s="538" t="s"/>
      <x:c r="C24" s="538" t="s"/>
      <x:c r="D24" s="539" t="s"/>
      <x:c r="E24" s="539" t="s"/>
      <x:c r="F24" s="539" t="s"/>
      <x:c r="G24" s="539" t="s"/>
      <x:c r="H24" s="539" t="s"/>
      <x:c r="I24" s="539" t="s"/>
      <x:c r="J24" s="540" t="s"/>
      <x:c r="K24" s="541" t="s"/>
      <x:c r="R24" s="131" t="s"/>
    </x:row>
    <x:row r="25" spans="1:18" customFormat="1" ht="16.35" customHeight="1" thickBot="1" x14ac:dyDescent="0.35">
      <x:c r="A25" s="444" t="s">
        <x:v>181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182</x:v>
      </x:c>
      <x:c r="L27" s="542">
        <x:f>SUM(L15:L25)</x:f>
      </x:c>
    </x:row>
    <x:row r="28" spans="1:18" customFormat="1" ht="18.75" customHeight="1" x14ac:dyDescent="0.3">
      <x:c r="L28" s="543" t="s">
        <x:v>183</x:v>
      </x:c>
    </x:row>
    <x:row r="29" spans="1:18" customFormat="1" ht="12" customHeight="1" thickBot="1" x14ac:dyDescent="0.35">
      <x:c r="F29" s="40" t="s"/>
      <x:c r="I29" s="38" t="s"/>
      <x:c r="J29" s="544" t="s"/>
    </x:row>
    <x:row r="30" spans="1:18" customFormat="1" ht="21.75" customHeight="1" thickBot="1" x14ac:dyDescent="0.35">
      <x:c r="H30" s="122" t="s"/>
      <x:c r="I30" s="43" t="s">
        <x:v>184</x:v>
      </x:c>
      <x:c r="J30" s="44" t="s"/>
      <x:c r="K30" s="45" t="s"/>
      <x:c r="L30" s="545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6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6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6" t="s"/>
    </x:row>
    <x:row r="34" spans="1:18" customFormat="1" ht="12.75" customHeight="1" x14ac:dyDescent="0.3">
      <x:c r="A34" s="2" t="s">
        <x:v>90</x:v>
      </x:c>
      <x:c r="B34" s="547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6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35.25" customHeight="1" thickBot="1" x14ac:dyDescent="0.35">
      <x:c r="U1" s="1" t="s">
        <x:v>185</x:v>
      </x:c>
    </x:row>
    <x:row r="2" spans="1:21" customFormat="1" ht="24" customHeight="1" thickBot="1" x14ac:dyDescent="0.4">
      <x:c r="A2" s="3" t="s">
        <x:v>186</x:v>
      </x:c>
      <x:c r="H2" s="13" t="s"/>
      <x:c r="I2" s="14" t="s">
        <x:v>56</x:v>
      </x:c>
      <x:c r="J2" s="15" t="s"/>
      <x:c r="K2" s="16" t="s"/>
      <x:c r="L2" s="16" t="n">
        <x:v>53</x:v>
      </x:c>
    </x:row>
    <x:row r="3" spans="1:21" customFormat="1" ht="24" customHeight="1" thickBot="1" x14ac:dyDescent="0.35">
      <x:c r="A3" s="4" t="s">
        <x:v>171</x:v>
      </x:c>
      <x:c r="H3" s="13" t="s"/>
      <x:c r="I3" s="14" t="s">
        <x:v>58</x:v>
      </x:c>
      <x:c r="J3" s="15" t="s"/>
      <x:c r="K3" s="16" t="s"/>
      <x:c r="L3" s="16" t="s">
        <x:v>187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188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189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190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191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192</x:v>
      </x:c>
      <x:c r="D7" s="242" t="s"/>
      <x:c r="E7" s="242" t="s"/>
      <x:c r="F7" s="242" t="s"/>
      <x:c r="J7" s="22" t="s">
        <x:v>65</x:v>
      </x:c>
      <x:c r="K7" s="31" t="s"/>
      <x:c r="L7" s="27" t="s">
        <x:v>193</x:v>
      </x:c>
    </x:row>
    <x:row r="8" spans="1:21" customFormat="1" ht="17.1" customHeight="1" x14ac:dyDescent="0.3">
      <x:c r="A8" s="2" t="s">
        <x:v>66</x:v>
      </x:c>
      <x:c r="B8" s="2" t="s"/>
      <x:c r="C8" s="29" t="s">
        <x:v>194</x:v>
      </x:c>
      <x:c r="D8" s="29" t="s"/>
      <x:c r="E8" s="29" t="s"/>
      <x:c r="F8" s="29" t="s"/>
      <x:c r="L8" s="548" t="s"/>
    </x:row>
    <x:row r="9" spans="1:21" customFormat="1" ht="17.1" customHeight="1" x14ac:dyDescent="0.3">
      <x:c r="A9" s="11" t="s">
        <x:v>67</x:v>
      </x:c>
      <x:c r="B9" s="11" t="s"/>
      <x:c r="C9" s="242" t="s">
        <x:v>195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196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17.1" customHeight="1" x14ac:dyDescent="0.3"/>
    <x:row r="14" spans="1:21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21" customFormat="1" ht="30" customHeight="1" x14ac:dyDescent="0.3">
      <x:c r="A15" s="438" t="s">
        <x:v>172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21" customFormat="1" ht="30" customHeight="1" x14ac:dyDescent="0.3">
      <x:c r="A16" s="438" t="s">
        <x:v>173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21" customFormat="1" ht="30" customHeight="1" x14ac:dyDescent="0.3">
      <x:c r="A17" s="211" t="s">
        <x:v>174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21" customFormat="1" ht="30" customHeight="1" x14ac:dyDescent="0.3">
      <x:c r="A18" s="211" t="s">
        <x:v>175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21" customFormat="1" ht="30" customHeight="1" x14ac:dyDescent="0.3">
      <x:c r="A19" s="211" t="s">
        <x:v>176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21" customFormat="1" ht="20.1" customHeight="1" thickBot="1" x14ac:dyDescent="0.35">
      <x:c r="K20" s="37" t="s"/>
      <x:c r="L20" s="37" t="s"/>
    </x:row>
    <x:row r="21" spans="1:21" customFormat="1" ht="24" customHeight="1" x14ac:dyDescent="0.3">
      <x:c r="A21" s="447" t="s">
        <x:v>177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21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21" customFormat="1" ht="23.25" customHeight="1" x14ac:dyDescent="0.3">
      <x:c r="A23" s="527" t="s">
        <x:v>178</x:v>
      </x:c>
      <x:c r="B23" s="528" t="s"/>
      <x:c r="C23" s="529" t="s"/>
      <x:c r="D23" s="530" t="s">
        <x:v>134</x:v>
      </x:c>
      <x:c r="E23" s="531" t="s"/>
      <x:c r="F23" s="532" t="s"/>
      <x:c r="G23" s="533" t="s">
        <x:v>179</x:v>
      </x:c>
      <x:c r="H23" s="534">
        <x:f>IFERROR(IF(ROUND(C23/F23,3)&gt;10,10,ROUND(C23/F23,3)),10)</x:f>
      </x:c>
      <x:c r="I23" s="535" t="s">
        <x:v>180</x:v>
      </x:c>
      <x:c r="J23" s="533" t="s">
        <x:v>179</x:v>
      </x:c>
      <x:c r="K23" s="536">
        <x:f>10-H23</x:f>
      </x:c>
      <x:c r="N23" s="132" t="s"/>
      <x:c r="R23" s="131" t="s"/>
    </x:row>
    <x:row r="24" spans="1:21" customFormat="1" ht="20.1" customHeight="1" thickBot="1" x14ac:dyDescent="0.35">
      <x:c r="A24" s="537" t="s">
        <x:v>118</x:v>
      </x:c>
      <x:c r="B24" s="538" t="s"/>
      <x:c r="C24" s="538" t="s"/>
      <x:c r="D24" s="539" t="s"/>
      <x:c r="E24" s="539" t="s"/>
      <x:c r="F24" s="539" t="s"/>
      <x:c r="G24" s="539" t="s"/>
      <x:c r="H24" s="539" t="s"/>
      <x:c r="I24" s="539" t="s"/>
      <x:c r="J24" s="540" t="s"/>
      <x:c r="K24" s="541" t="s"/>
      <x:c r="R24" s="131" t="s"/>
    </x:row>
    <x:row r="25" spans="1:21" customFormat="1" ht="16.35" customHeight="1" thickBot="1" x14ac:dyDescent="0.35">
      <x:c r="A25" s="444" t="s">
        <x:v>181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21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21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182</x:v>
      </x:c>
      <x:c r="L27" s="542">
        <x:f>SUM(L15:L25)</x:f>
      </x:c>
    </x:row>
    <x:row r="28" spans="1:21" customFormat="1" ht="18.75" customHeight="1" x14ac:dyDescent="0.3">
      <x:c r="L28" s="543" t="s">
        <x:v>198</x:v>
      </x:c>
    </x:row>
    <x:row r="29" spans="1:21" customFormat="1" ht="12" customHeight="1" thickBot="1" x14ac:dyDescent="0.35">
      <x:c r="F29" s="40" t="s"/>
      <x:c r="I29" s="38" t="s"/>
      <x:c r="J29" s="544" t="s"/>
    </x:row>
    <x:row r="30" spans="1:21" customFormat="1" ht="21.75" customHeight="1" thickBot="1" x14ac:dyDescent="0.35">
      <x:c r="H30" s="122" t="s"/>
      <x:c r="I30" s="43" t="s">
        <x:v>184</x:v>
      </x:c>
      <x:c r="J30" s="44" t="s"/>
      <x:c r="K30" s="45" t="s"/>
      <x:c r="L30" s="545">
        <x:f>ROUND(SUM(L27)/4,3)</x:f>
      </x:c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546" t="s"/>
    </x:row>
    <x:row r="32" spans="1:21" customFormat="1" ht="7.5" customHeight="1" x14ac:dyDescent="0.3">
      <x:c r="F32" s="47" t="s"/>
      <x:c r="H32" s="42" t="s"/>
      <x:c r="I32" s="42" t="s"/>
      <x:c r="J32" s="48" t="s"/>
      <x:c r="K32" s="38" t="s"/>
      <x:c r="L32" s="546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546" t="s"/>
    </x:row>
    <x:row r="34" spans="1:21" customFormat="1" ht="12.75" customHeight="1" x14ac:dyDescent="0.3">
      <x:c r="A34" s="2" t="s">
        <x:v>90</x:v>
      </x:c>
      <x:c r="B34" s="547" t="s"/>
      <x:c r="C34" s="29" t="s">
        <x:v>199</x:v>
      </x:c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21" customFormat="1" ht="18" customHeight="1" x14ac:dyDescent="0.3">
      <x:c r="F35" s="47" t="s"/>
      <x:c r="H35" s="42" t="s"/>
      <x:c r="I35" s="42" t="s"/>
      <x:c r="J35" s="48" t="s"/>
      <x:c r="K35" s="38" t="s"/>
      <x:c r="L35" s="546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137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138</x:v>
      </x:c>
    </x:row>
    <x:row r="17" spans="1:16127" customFormat="1" ht="61.9" customHeight="1" thickBot="1" x14ac:dyDescent="0.35">
      <x:c r="A17" s="279" t="s">
        <x:v>139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141</x:v>
      </x:c>
      <x:c r="K17" s="522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5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6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152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7" t="s"/>
      <x:c r="C29" s="547" t="s"/>
      <x:c r="D29" s="547" t="s"/>
      <x:c r="E29" s="547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6" t="s"/>
    </x:row>
    <x:row r="33" spans="1:16127" x14ac:dyDescent="0.3">
      <x:c r="F33" s="47" t="s"/>
      <x:c r="H33" s="42" t="s"/>
      <x:c r="I33" s="42" t="s"/>
      <x:c r="J33" s="48" t="s"/>
      <x:c r="K33" s="38" t="s"/>
      <x:c r="L33" s="546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0" width="9.132812" style="1" customWidth="1"/>
    <x:col min="21" max="21" width="9.132812" style="1" hidden="1" customWidth="1"/>
    <x:col min="22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>
      <x:c r="U1" s="1" t="s">
        <x:v>218</x:v>
      </x:c>
    </x:row>
    <x:row r="2" spans="1:16127" customFormat="1" ht="24" customHeight="1" thickBot="1" x14ac:dyDescent="0.35">
      <x:c r="A2" s="457" t="s">
        <x:v>219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137</x:v>
      </x:c>
      <x:c r="H3" s="13" t="s"/>
      <x:c r="I3" s="14" t="s">
        <x:v>56</x:v>
      </x:c>
      <x:c r="J3" s="15" t="s"/>
      <x:c r="K3" s="16" t="s"/>
      <x:c r="L3" s="16" t="n">
        <x:v>53</x:v>
      </x:c>
    </x:row>
    <x:row r="4" spans="1:16127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>
        <x:v>49</x:v>
      </x:c>
    </x:row>
    <x:row r="5" spans="1:16127" customFormat="1" ht="24" customHeight="1" thickBot="1" x14ac:dyDescent="0.35">
      <x:c r="A5" s="11" t="s">
        <x:v>61</x:v>
      </x:c>
      <x:c r="B5" s="11" t="s"/>
      <x:c r="C5" s="242" t="s">
        <x:v>189</x:v>
      </x:c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>
        <x:v>188</x:v>
      </x:c>
    </x:row>
    <x:row r="6" spans="1:16127" customFormat="1" ht="15" customHeight="1" thickBot="1" x14ac:dyDescent="0.35">
      <x:c r="A6" s="11" t="s">
        <x:v>63</x:v>
      </x:c>
      <x:c r="B6" s="11" t="s"/>
      <x:c r="C6" s="242" t="s">
        <x:v>191</x:v>
      </x:c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>
        <x:v>190</x:v>
      </x:c>
    </x:row>
    <x:row r="7" spans="1:16127" customFormat="1" ht="17.1" customHeight="1" thickBot="1" x14ac:dyDescent="0.35">
      <x:c r="A7" s="11" t="s">
        <x:v>64</x:v>
      </x:c>
      <x:c r="B7" s="11" t="s"/>
      <x:c r="C7" s="242" t="s">
        <x:v>192</x:v>
      </x:c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>
        <x:v>194</x:v>
      </x:c>
      <x:c r="D8" s="29" t="s"/>
      <x:c r="E8" s="29" t="s"/>
      <x:c r="F8" s="29" t="s"/>
      <x:c r="G8" s="550" t="s"/>
      <x:c r="J8" s="22" t="s">
        <x:v>65</x:v>
      </x:c>
      <x:c r="K8" s="31" t="s"/>
      <x:c r="L8" s="27" t="s">
        <x:v>193</x:v>
      </x:c>
    </x:row>
    <x:row r="9" spans="1:16127" customFormat="1" ht="17.1" customHeight="1" x14ac:dyDescent="0.3">
      <x:c r="A9" s="11" t="s">
        <x:v>67</x:v>
      </x:c>
      <x:c r="B9" s="11" t="s"/>
      <x:c r="C9" s="242" t="s">
        <x:v>195</x:v>
      </x:c>
      <x:c r="D9" s="242" t="s"/>
      <x:c r="E9" s="242" t="s"/>
      <x:c r="F9" s="242" t="s"/>
      <x:c r="G9" s="550" t="s"/>
      <x:c r="H9" s="481" t="s"/>
      <x:c r="I9" s="481" t="s"/>
      <x:c r="J9" s="481" t="s"/>
      <x:c r="K9" s="481" t="s"/>
      <x:c r="L9" s="548" t="s"/>
    </x:row>
    <x:row r="10" spans="1:16127" customFormat="1" ht="17.1" customHeight="1" x14ac:dyDescent="0.3">
      <x:c r="A10" s="11" t="s">
        <x:v>68</x:v>
      </x:c>
      <x:c r="B10" s="11" t="s"/>
      <x:c r="C10" s="242" t="s">
        <x:v>196</x:v>
      </x:c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138</x:v>
      </x:c>
    </x:row>
    <x:row r="17" spans="1:16127" customFormat="1" ht="61.9" customHeight="1" thickBot="1" x14ac:dyDescent="0.35">
      <x:c r="A17" s="279" t="s">
        <x:v>139</x:v>
      </x:c>
      <x:c r="B17" s="430" t="s">
        <x:v>220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141</x:v>
      </x:c>
      <x:c r="K17" s="522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5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223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6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152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7" t="s"/>
      <x:c r="C29" s="547" t="s">
        <x:v>224</x:v>
      </x:c>
      <x:c r="D29" s="547" t="s"/>
      <x:c r="E29" s="547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6" t="s"/>
    </x:row>
    <x:row r="33" spans="1:16127" x14ac:dyDescent="0.3">
      <x:c r="F33" s="47" t="s"/>
      <x:c r="H33" s="42" t="s"/>
      <x:c r="I33" s="42" t="s"/>
      <x:c r="J33" s="48" t="s"/>
      <x:c r="K33" s="38" t="s"/>
      <x:c r="L33" s="546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2026-03-15T11:22:08.6888826Z</dcterms:modified>
</coreProperties>
</file>