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8" activeTab="8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state="hidden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<x:sst xmlns:x="http://schemas.openxmlformats.org/spreadsheetml/2006/main" count="225" uniqueCount="225">
  <x:si>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</x:si>
  <x:si>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</x:si>
  <x:si>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</x:si>
  <x:si>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</x:si>
  <x:si>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</x:si>
  <x:si>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</x:si>
  <x:si>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</x:si>
  <x:si>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</x:si>
  <x:si>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</x:si>
  <x:si>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</x:si>
  <x:si>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</x:si>
  <x:si>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</x:si>
  <x:si>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</x:si>
  <x:si>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</x:si>
  <x:si>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</x:si>
  <x:si>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</x:si>
  <x:si>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</x:si>
  <x:si>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</x:si>
  <x:si>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</x:si>
  <x:si>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</x:si>
  <x:si>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</x:si>
  <x:si>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</x:si>
  <x:si>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</x:si>
  <x:si>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</x:si>
  <x:si>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</x:si>
  <x:si>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</x:si>
  <x:si>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</x:si>
  <x:si>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</x:si>
  <x:si>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</x:si>
  <x:si>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</x:si>
  <x:si>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</x:si>
  <x:si>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</x:si>
  <x:si>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</x:si>
  <x:si>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</x:si>
  <x:si>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</x:si>
  <x:si>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</x:si>
  <x:si>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</x:si>
  <x:si>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</x:si>
  <x:si>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</x:si>
  <x:si>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</x:si>
  <x:si>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</x:si>
  <x:si>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</x:si>
  <x:si>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</x:si>
  <x:si>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</x:si>
  <x:si>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</x:si>
  <x:si>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</x:si>
  <x:si>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</x:si>
  <x:si>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</x:si>
  <x:si>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</x:si>
  <x:si>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</x:si>
  <x:si>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</x:si>
  <x:si>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</x:si>
  <x:si>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</x:si>
  <x:si>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</x:si>
  <x:si>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</x:si>
  <x:si>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</x:si>
  <x:si>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</x:si>
  <x:si>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</x:si>
  <x:si>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</x:si>
  <x:si>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</x:si>
  <x:si>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</x:si>
  <x:si>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</x:si>
  <x:si>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</x:si>
  <x:si>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</x:si>
  <x:si>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</x:si>
  <x:si>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</x:si>
  <x:si>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</x:si>
  <x:si>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</x:si>
  <x:si>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</x:si>
  <x:si>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</x:si>
  <x:si>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</x:si>
  <x:si>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</x:si>
  <x:si>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</x:si>
  <x:si>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</x:si>
  <x:si>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</x:si>
  <x:si>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</x:si>
  <x:si>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</x:si>
  <x:si>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</x:si>
  <x:si>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</x:si>
  <x:si>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</x:si>
  <x:si>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</x:si>
  <x:si>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</x:si>
  <x:si>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</x:si>
  <x:si>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</x:si>
  <x:si>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</x:si>
  <x:si>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</x:si>
  <x:si>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</x:si>
  <x:si>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</x:si>
  <x:si>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</x:si>
  <x:si>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</x:si>
  <x:si>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</x:si>
  <x:si>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</x:si>
  <x:si>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</x:si>
  <x:si>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</x:si>
  <x:si>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</x:si>
  <x:si>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</x:si>
  <x:si>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</x:si>
  <x:si>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</x:si>
  <x:si>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</x:si>
  <x:si>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</x:si>
  <x:si>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</x:si>
  <x:si>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</x:si>
  <x:si>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</x:si>
  <x:si>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</x:si>
  <x:si>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</x:si>
  <x:si>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</x:si>
  <x:si>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</x:si>
  <x:si>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</x:si>
  <x:si>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</x:si>
  <x:si>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</x:si>
  <x:si>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</x:si>
  <x:si>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</x:si>
  <x:si>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</x:si>
  <x:si>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</x:si>
  <x:si>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</x:si>
  <x:si>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id_53900_2_38751_2_A</x:t>
  </x:si>
  <x:si>
    <x:t>Individuell kür 1*</x:t>
  </x:si>
  <x:si>
    <x:t>Teknisk bedömning</x:t>
  </x:si>
  <x:si>
    <x:t>A</x:t>
  </x:si>
  <x:si>
    <x:t>2</x:t>
  </x:si>
  <x:si>
    <x:t>Uppsala</x:t>
  </x:si>
  <x:si>
    <x:t>Kür</x:t>
  </x:si>
  <x:si>
    <x:t>Vera Carlén</x:t>
  </x:si>
  <x:si>
    <x:t>Hamre Voltige</x:t>
  </x:si>
  <x:si>
    <x:t>Blå 12</x:t>
  </x:si>
  <x:si>
    <x:t>SE</x:t>
  </x:si>
  <x:si>
    <x:t>Rörlig Movie</x:t>
  </x:si>
  <x:si>
    <x:t>-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</x:si>
  <x:si>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</x:si>
  <x:si>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</x:si>
  <x:si>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</x:si>
  <x:si>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</x:si>
  <x:si>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</x:si>
  <x:si>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</x:si>
  <x:si>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</x:si>
  <x:si>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</x:si>
  <x:si>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</x:si>
  <x:si>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</x:si>
  <x:si>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Matilda Lancing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</x:si>
  <x:si>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</x:si>
  <x:si>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</x:si>
  <x:si>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</x:si>
  <x:si>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</x:si>
  <x:si>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</x:si>
  <x:si>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</x:si>
  <x:si>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</x:si>
  <x:si>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</x:si>
  <x:si>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</x:si>
  <x:si>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</x:si>
  <x:si>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id_53900_2_38751_2_B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</x:si>
  <x:si>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</x:si>
  <x:si>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</x:si>
  <x:si>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</x:si>
  <x:si>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</x:si>
  <x:si>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</x:si>
  <x:si>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</x:si>
  <x:si>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</x:si>
  <x:si>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</x:si>
  <x:si>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</x:si>
  <x:si>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</x:si>
  <x:si>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</x:si>
  <x:si>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</x:si>
  <x:si>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</x:si>
  <x:si>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</x:si>
  <x:si>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</x:si>
  <x:si>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</x:si>
  <x:si>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t>Anna Andersson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</x:si>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</x:sst>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FFFF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" fillId="5" borderId="0" applyNumberFormat="1" applyFill="0" applyBorder="0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106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13" customFormat="1" ht="20.1" customHeight="1" x14ac:dyDescent="0.3">
      <x:c r="A18" s="211" t="s">
        <x:v>107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13" customFormat="1" ht="20.1" customHeight="1" x14ac:dyDescent="0.3">
      <x:c r="A19" s="211" t="s">
        <x:v>108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13" customFormat="1" ht="20.1" customHeight="1" x14ac:dyDescent="0.3">
      <x:c r="A20" s="211" t="s">
        <x:v>109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13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13" customFormat="1" ht="20.1" customHeight="1" x14ac:dyDescent="0.3">
      <x:c r="A22" s="211" t="s">
        <x:v>110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107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108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109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113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114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115</x:v>
      </x:c>
    </x:row>
    <x:row r="2" spans="1:21" customFormat="1" ht="22.5" customHeight="1" thickBot="1" x14ac:dyDescent="0.4">
      <x:c r="A2" s="278" t="s">
        <x:v>116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n">
        <x:v>46</x:v>
      </x:c>
    </x:row>
    <x:row r="3" spans="1:21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>
        <x:v>118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119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120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121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122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242" t="s">
        <x:v>123</x:v>
      </x:c>
      <x:c r="D7" s="242" t="s"/>
      <x:c r="E7" s="242" t="s"/>
      <x:c r="F7" s="242" t="s"/>
      <x:c r="J7" s="22" t="s">
        <x:v>65</x:v>
      </x:c>
      <x:c r="K7" s="31" t="s"/>
      <x:c r="L7" s="27" t="s">
        <x:v>124</x:v>
      </x:c>
    </x:row>
    <x:row r="8" spans="1:21" customFormat="1" ht="17.1" customHeight="1" x14ac:dyDescent="0.3">
      <x:c r="A8" s="2" t="s">
        <x:v>66</x:v>
      </x:c>
      <x:c r="B8" s="2" t="s"/>
      <x:c r="C8" s="29" t="s">
        <x:v>125</x:v>
      </x:c>
      <x:c r="D8" s="29" t="s"/>
      <x:c r="E8" s="29" t="s"/>
      <x:c r="F8" s="29" t="s"/>
      <x:c r="L8" s="518" t="s"/>
    </x:row>
    <x:row r="9" spans="1:21" customFormat="1" ht="17.1" customHeight="1" x14ac:dyDescent="0.3">
      <x:c r="A9" s="11" t="s">
        <x:v>67</x:v>
      </x:c>
      <x:c r="B9" s="11" t="s"/>
      <x:c r="C9" s="242" t="s">
        <x:v>126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127</x:v>
      </x:c>
      <x:c r="D10" s="242" t="s"/>
      <x:c r="E10" s="242" t="s"/>
      <x:c r="F10" s="242" t="s"/>
    </x:row>
    <x:row r="11" spans="1:21" customFormat="1" ht="33.75" customHeight="1" x14ac:dyDescent="0.3"/>
    <x:row r="12" spans="1:21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21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21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21" s="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U15" s="0" t="s"/>
    </x:row>
    <x:row r="16" spans="1:21" customFormat="1" ht="19.5" customHeight="1" thickBot="1" x14ac:dyDescent="0.4">
      <x:c r="A16" s="3" t="s">
        <x:v>130</x:v>
      </x:c>
    </x:row>
    <x:row r="17" spans="1:21" customFormat="1" ht="15" customHeight="1" thickBot="1" x14ac:dyDescent="0.35">
      <x:c r="H17" s="170" t="s"/>
      <x:c r="I17" s="70" t="s"/>
      <x:c r="K17" s="171" t="s">
        <x:v>131</x:v>
      </x:c>
    </x:row>
    <x:row r="18" spans="1:21" customFormat="1" ht="15" customHeight="1" x14ac:dyDescent="0.3">
      <x:c r="K18" s="30" t="s"/>
    </x:row>
    <x:row r="19" spans="1:21" customFormat="1" ht="15" customHeight="1" x14ac:dyDescent="0.3">
      <x:c r="K19" s="30" t="s"/>
    </x:row>
    <x:row r="20" spans="1:21" customFormat="1" ht="15" customHeight="1" x14ac:dyDescent="0.3">
      <x:c r="K20" s="30" t="s"/>
    </x:row>
    <x:row r="21" spans="1:21" customFormat="1" ht="15" customHeight="1" x14ac:dyDescent="0.3">
      <x:c r="K21" s="30" t="s"/>
    </x:row>
    <x:row r="23" spans="1:21" customFormat="1" ht="21" customHeight="1" x14ac:dyDescent="0.35">
      <x:c r="G23" s="172" t="s"/>
      <x:c r="J23" s="173" t="s"/>
      <x:c r="K23" s="91" t="s"/>
      <x:c r="L23" s="82" t="s"/>
    </x:row>
    <x:row r="24" spans="1:21" customFormat="1" ht="23.25" customHeight="1" x14ac:dyDescent="0.3">
      <x:c r="A24" s="4" t="s">
        <x:v>132</x:v>
      </x:c>
    </x:row>
    <x:row r="25" spans="1:21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21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21" customFormat="1" ht="8.25" customHeight="1" x14ac:dyDescent="0.3">
      <x:c r="H27" s="30" t="s"/>
      <x:c r="I27" s="52" t="s"/>
      <x:c r="J27" s="84" t="s"/>
      <x:c r="K27" s="85" t="s"/>
    </x:row>
    <x:row r="28" spans="1:21" customFormat="1" ht="12" customHeight="1" x14ac:dyDescent="0.3">
      <x:c r="I28" s="52" t="s"/>
      <x:c r="J28" s="84" t="s"/>
    </x:row>
    <x:row r="29" spans="1:21" customFormat="1" ht="15" customHeight="1" x14ac:dyDescent="0.3">
      <x:c r="D29" s="86" t="s">
        <x:v>129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21" customFormat="1" ht="7.5" customHeight="1" thickBot="1" x14ac:dyDescent="0.35">
      <x:c r="L30" s="30" t="s"/>
    </x:row>
    <x:row r="31" spans="1:21" customFormat="1" ht="20.25" customHeight="1" thickBot="1" x14ac:dyDescent="0.35">
      <x:c r="G31" s="79" t="s">
        <x:v>136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21" customFormat="1" ht="11.25" customHeight="1" thickBot="1" x14ac:dyDescent="0.35"/>
    <x:row r="33" spans="1:21" customFormat="1" ht="20.25" customHeight="1" thickBot="1" x14ac:dyDescent="0.35">
      <x:c r="I33" s="22" t="s">
        <x:v>137</x:v>
      </x:c>
      <x:c r="J33" s="23" t="s"/>
      <x:c r="K33" s="23" t="s"/>
      <x:c r="L33" s="57">
        <x:f>IFERROR(K31,"")</x:f>
      </x:c>
    </x:row>
    <x:row r="35" spans="1:21" customFormat="1" ht="55.5" customHeight="1" x14ac:dyDescent="0.3">
      <x:c r="E35" s="186" t="s"/>
      <x:c r="F35" s="186" t="s"/>
      <x:c r="G35" s="186" t="s"/>
    </x:row>
    <x:row r="37" spans="1:21" x14ac:dyDescent="0.3">
      <x:c r="A37" s="2" t="s">
        <x:v>90</x:v>
      </x:c>
      <x:c r="B37" s="29" t="s"/>
      <x:c r="C37" s="29" t="s">
        <x:v>138</x:v>
      </x:c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139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140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141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142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143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144</x:v>
      </x:c>
      <x:c r="C21" s="54" t="s"/>
      <x:c r="D21" s="55" t="s"/>
      <x:c r="E21" s="520">
        <x:f>LEN(A$13)-LEN(SUBSTITUTE(A$13,"E",""))+LEN(A$13)-LEN(SUBSTITUTE(A$13,"L",""))</x:f>
      </x:c>
      <x:c r="F21" s="107" t="s">
        <x:v>145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146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147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140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141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142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143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144</x:v>
      </x:c>
      <x:c r="C21" s="54" t="s"/>
      <x:c r="D21" s="55" t="s"/>
      <x:c r="E21" s="520">
        <x:f>LEN(A$13)-LEN(SUBSTITUTE(A$13,"E",""))+LEN(A$13)-LEN(SUBSTITUTE(A$13,"L",""))</x:f>
      </x:c>
      <x:c r="F21" s="107" t="s">
        <x:v>145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146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147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>
      <x:c r="U1" s="1" t="s">
        <x:v>149</x:v>
      </x:c>
    </x:row>
    <x:row r="2" spans="1:16141" customFormat="1" ht="24" customHeight="1" thickBot="1" x14ac:dyDescent="0.4">
      <x:c r="A2" s="278" t="s">
        <x:v>116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n">
        <x:v>46</x:v>
      </x:c>
    </x:row>
    <x:row r="3" spans="1:16141" customFormat="1" ht="24" customHeight="1" thickBot="1" x14ac:dyDescent="0.35">
      <x:c r="A3" s="4" t="s">
        <x:v>150</x:v>
      </x:c>
      <x:c r="H3" s="13" t="s"/>
      <x:c r="I3" s="14" t="s">
        <x:v>58</x:v>
      </x:c>
      <x:c r="J3" s="15" t="s"/>
      <x:c r="K3" s="16" t="s"/>
      <x:c r="L3" s="16" t="s">
        <x:v>49</x:v>
      </x:c>
    </x:row>
    <x:row r="4" spans="1:1614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119</x:v>
      </x:c>
    </x:row>
    <x:row r="5" spans="1:16141" customFormat="1" ht="24" customHeight="1" thickBot="1" x14ac:dyDescent="0.35">
      <x:c r="A5" s="11" t="s">
        <x:v>61</x:v>
      </x:c>
      <x:c r="B5" s="11" t="s"/>
      <x:c r="C5" s="242" t="s">
        <x:v>120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121</x:v>
      </x:c>
    </x:row>
    <x:row r="6" spans="1:16141" customFormat="1" ht="19.5" customHeight="1" thickBot="1" x14ac:dyDescent="0.35">
      <x:c r="A6" s="11" t="s">
        <x:v>63</x:v>
      </x:c>
      <x:c r="B6" s="11" t="s"/>
      <x:c r="C6" s="242" t="s">
        <x:v>122</x:v>
      </x:c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>
        <x:v>123</x:v>
      </x:c>
      <x:c r="D7" s="242" t="s"/>
      <x:c r="E7" s="242" t="s"/>
      <x:c r="F7" s="242" t="s"/>
      <x:c r="J7" s="22" t="s">
        <x:v>65</x:v>
      </x:c>
      <x:c r="K7" s="31" t="s"/>
      <x:c r="L7" s="27" t="s">
        <x:v>124</x:v>
      </x:c>
    </x:row>
    <x:row r="8" spans="1:16141" customFormat="1" ht="17.1" customHeight="1" x14ac:dyDescent="0.3">
      <x:c r="A8" s="2" t="s">
        <x:v>66</x:v>
      </x:c>
      <x:c r="B8" s="2" t="s"/>
      <x:c r="C8" s="29" t="s">
        <x:v>125</x:v>
      </x:c>
      <x:c r="D8" s="29" t="s"/>
      <x:c r="E8" s="29" t="s"/>
      <x:c r="F8" s="29" t="s"/>
      <x:c r="L8" s="518" t="s"/>
    </x:row>
    <x:row r="9" spans="1:16141" customFormat="1" ht="17.1" customHeight="1" x14ac:dyDescent="0.3">
      <x:c r="A9" s="11" t="s">
        <x:v>67</x:v>
      </x:c>
      <x:c r="B9" s="11" t="s"/>
      <x:c r="C9" s="242" t="s">
        <x:v>126</x:v>
      </x:c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>
        <x:v>127</x:v>
      </x:c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151</x:v>
      </x:c>
    </x:row>
    <x:row r="13" spans="1:16141" customFormat="1" ht="69" customHeight="1" thickBot="1" x14ac:dyDescent="0.35">
      <x:c r="A13" s="279" t="s">
        <x:v>152</x:v>
      </x:c>
      <x:c r="B13" s="430" t="s">
        <x:v>153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154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155</x:v>
      </x:c>
      <x:c r="B14" s="416" t="s">
        <x:v>156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157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158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159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160</x:v>
      </x:c>
      <x:c r="B16" s="424" t="s">
        <x:v>161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162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163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164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165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>
        <x:v>166</x:v>
      </x:c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139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150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151</x:v>
      </x:c>
    </x:row>
    <x:row r="13" spans="1:16141" s="0" customFormat="1" ht="73.5" customHeight="1" thickBot="1" x14ac:dyDescent="0.35">
      <x:c r="A13" s="279" t="s">
        <x:v>152</x:v>
      </x:c>
      <x:c r="B13" s="430" t="s">
        <x:v>167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154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155</x:v>
      </x:c>
      <x:c r="B14" s="416" t="s">
        <x:v>168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169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170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171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160</x:v>
      </x:c>
      <x:c r="B16" s="433" t="s">
        <x:v>172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173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174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175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165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150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151</x:v>
      </x:c>
    </x:row>
    <x:row r="13" spans="1:16141" customFormat="1" ht="71.25" customHeight="1" thickBot="1" x14ac:dyDescent="0.35">
      <x:c r="A13" s="279" t="s">
        <x:v>152</x:v>
      </x:c>
      <x:c r="B13" s="430" t="s">
        <x:v>176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154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155</x:v>
      </x:c>
      <x:c r="B14" s="416" t="s">
        <x:v>177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178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179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171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160</x:v>
      </x:c>
      <x:c r="B16" s="433" t="s">
        <x:v>180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181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182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183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165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184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185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185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186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187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188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189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190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191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192</x:v>
      </x:c>
      <x:c r="B23" s="529" t="s"/>
      <x:c r="C23" s="530" t="s"/>
      <x:c r="D23" s="531" t="s">
        <x:v>146</x:v>
      </x:c>
      <x:c r="E23" s="532" t="s"/>
      <x:c r="F23" s="533" t="s"/>
      <x:c r="G23" s="534" t="s">
        <x:v>193</x:v>
      </x:c>
      <x:c r="H23" s="535">
        <x:f>IFERROR(IF(ROUND(C23/F23,3)&gt;10,10,ROUND(C23/F23,3)),10)</x:f>
      </x:c>
      <x:c r="I23" s="536" t="s">
        <x:v>194</x:v>
      </x:c>
      <x:c r="J23" s="534" t="s">
        <x:v>193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195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196</x:v>
      </x:c>
      <x:c r="L27" s="543">
        <x:f>SUM(L15:L25)</x:f>
      </x:c>
    </x:row>
    <x:row r="28" spans="1:18" customFormat="1" ht="18.75" customHeight="1" x14ac:dyDescent="0.3">
      <x:c r="L28" s="544" t="s">
        <x:v>197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198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199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185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200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186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18" customFormat="1" ht="30" customHeight="1" x14ac:dyDescent="0.3">
      <x:c r="A16" s="438" t="s">
        <x:v>187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188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189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190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191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192</x:v>
      </x:c>
      <x:c r="B23" s="529" t="s"/>
      <x:c r="C23" s="530" t="s"/>
      <x:c r="D23" s="531" t="s">
        <x:v>146</x:v>
      </x:c>
      <x:c r="E23" s="532" t="s"/>
      <x:c r="F23" s="533" t="s"/>
      <x:c r="G23" s="534" t="s">
        <x:v>193</x:v>
      </x:c>
      <x:c r="H23" s="535">
        <x:f>IFERROR(IF(ROUND(C23/F23,3)&gt;10,10,ROUND(C23/F23,3)),10)</x:f>
      </x:c>
      <x:c r="I23" s="536" t="s">
        <x:v>194</x:v>
      </x:c>
      <x:c r="J23" s="534" t="s">
        <x:v>193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195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196</x:v>
      </x:c>
      <x:c r="L27" s="543">
        <x:f>SUM(L15:L25)</x:f>
      </x:c>
    </x:row>
    <x:row r="28" spans="1:18" customFormat="1" ht="18.75" customHeight="1" x14ac:dyDescent="0.3">
      <x:c r="L28" s="544" t="s">
        <x:v>201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198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202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150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203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204</x:v>
      </x:c>
      <x:c r="C13" s="237" t="s">
        <x:v>205</x:v>
      </x:c>
      <x:c r="D13" s="238" t="s">
        <x:v>206</x:v>
      </x:c>
      <x:c r="E13" s="463" t="s"/>
      <x:c r="F13" s="237" t="s">
        <x:v>207</x:v>
      </x:c>
      <x:c r="G13" s="237" t="s">
        <x:v>208</x:v>
      </x:c>
      <x:c r="H13" s="238" t="s">
        <x:v>209</x:v>
      </x:c>
      <x:c r="I13" s="239" t="s">
        <x:v>40</x:v>
      </x:c>
      <x:c r="J13" s="466" t="s">
        <x:v>210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151</x:v>
      </x:c>
    </x:row>
    <x:row r="17" spans="1:16127" customFormat="1" ht="61.9" customHeight="1" thickBot="1" x14ac:dyDescent="0.35">
      <x:c r="A17" s="279" t="s">
        <x:v>152</x:v>
      </x:c>
      <x:c r="B17" s="430" t="s">
        <x:v>211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154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212</x:v>
      </x:c>
      <x:c r="B18" s="458" t="s">
        <x:v>213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214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215</x:v>
      </x:c>
      <x:c r="B19" s="470" t="s">
        <x:v>216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217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218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219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165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220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150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203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204</x:v>
      </x:c>
      <x:c r="C13" s="237" t="s">
        <x:v>205</x:v>
      </x:c>
      <x:c r="D13" s="238" t="s">
        <x:v>206</x:v>
      </x:c>
      <x:c r="E13" s="463" t="s"/>
      <x:c r="F13" s="237" t="s">
        <x:v>207</x:v>
      </x:c>
      <x:c r="G13" s="237" t="s"/>
      <x:c r="H13" s="238" t="s"/>
      <x:c r="I13" s="239" t="s">
        <x:v>40</x:v>
      </x:c>
      <x:c r="J13" s="466" t="s">
        <x:v>210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151</x:v>
      </x:c>
    </x:row>
    <x:row r="17" spans="1:16127" customFormat="1" ht="61.9" customHeight="1" thickBot="1" x14ac:dyDescent="0.35">
      <x:c r="A17" s="279" t="s">
        <x:v>152</x:v>
      </x:c>
      <x:c r="B17" s="430" t="s">
        <x:v>221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154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212</x:v>
      </x:c>
      <x:c r="B18" s="474" t="s">
        <x:v>222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214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215</x:v>
      </x:c>
      <x:c r="B19" s="470" t="s">
        <x:v>223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217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224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219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165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2026-03-15T11:21:02.2086266Z</dcterms:modified>
</coreProperties>
</file>