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2" activeTab="2" xr2:uid="{00000000-000D-0000-FFFF-FFFF00000000}"/>
  </x:bookViews>
  <x:sheets>
    <x:sheet name="Information" sheetId="27" state="hidden" r:id="rId1"/>
    <x:sheet name="Häst_old, lag" sheetId="24" state="hidden" r:id="rId2"/>
    <x:sheet name="Lag grund A" sheetId="22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state="hidden" r:id="rId8"/>
    <x:sheet name="Lag kür art" sheetId="21" state="hidden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<x:sst xmlns:x="http://schemas.openxmlformats.org/spreadsheetml/2006/main" count="190" uniqueCount="190">
  <x:si>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</x:si>
  <x:si>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</x:si>
  <x:si>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</x:si>
  <x:si>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</x:si>
  <x:si>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</x:si>
  <x:si>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</x:si>
  <x:si>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</x:si>
  <x:si>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</x:si>
  <x:si>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</x:si>
  <x:si>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</x:si>
  <x:si>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</x:si>
  <x:si>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</x:si>
  <x:si>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</x:si>
  <x:si>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</x:si>
  <x:si>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</x:si>
  <x:si>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</x:si>
  <x:si>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</x:si>
  <x:si>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</x:si>
  <x:si>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</x:si>
  <x:si>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</x:si>
  <x:si>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</x:si>
  <x:si>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</x:si>
  <x:si>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</x:si>
  <x:si>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</x:si>
  <x:si>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</x:si>
  <x:si>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</x:si>
  <x:si>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</x:si>
  <x:si>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</x:si>
  <x:si>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</x:si>
  <x:si>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</x:si>
  <x:si>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</x:si>
  <x:si>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</x:si>
  <x:si>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</x:si>
  <x:si>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</x:si>
  <x:si>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</x:si>
  <x:si>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</x:si>
  <x:si>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</x:si>
  <x:si>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</x:si>
  <x:si>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</x:si>
  <x:si>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</x:si>
  <x:si>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</x:si>
  <x:si>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</x:si>
  <x:si>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</x:si>
  <x:si>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</x:si>
  <x:si>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</x:si>
  <x:si>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</x:si>
  <x:si>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</x:si>
  <x:si>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</x:si>
  <x:si>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</x:si>
  <x:si>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</x:si>
  <x:si>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</x:si>
  <x:si>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</x:si>
  <x:si>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</x:si>
  <x:si>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</x:si>
  <x:si>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</x:si>
  <x:si>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</x:si>
  <x:si>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</x:si>
  <x:si>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</x:si>
  <x:si>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</x:si>
  <x:si>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</x:si>
  <x:si>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</x:si>
  <x:si>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</x:si>
  <x:si>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</x:si>
  <x:si>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</x:si>
  <x:si>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</x:si>
  <x:si>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</x:si>
  <x:si>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</x:si>
  <x:si>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</x:si>
  <x:si>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</x:si>
  <x:si>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</x:si>
  <x:si>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</x:si>
  <x:si>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</x:si>
  <x:si>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</x:si>
  <x:si>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</x:si>
  <x:si>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</x:si>
  <x:si>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</x:si>
  <x:si>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</x:si>
  <x:si>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</x:si>
  <x:si>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</x:si>
  <x:si>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</x:si>
  <x:si>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</x:si>
  <x:si>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</x:si>
  <x:si>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</x:si>
  <x:si>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</x:si>
  <x:si>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</x:si>
  <x:si>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</x:si>
  <x:si>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</x:si>
  <x:si>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</x:si>
  <x:si>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</x:si>
  <x:si>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</x:si>
  <x:si>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</x:si>
  <x:si>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</x:si>
  <x:si>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</x:si>
  <x:si>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</x:si>
  <x:si>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</x:si>
  <x:si>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</x:si>
  <x:si>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</x:si>
  <x:si>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id_32906_10_38755_1_A</x:t>
  </x:si>
  <x:si>
    <x:t>Svår klass seniorlag</x:t>
  </x:si>
  <x:si>
    <x:t>Grund 3*</x:t>
  </x:si>
  <x:si>
    <x:t>Erik Lamvert</x:t>
  </x:si>
  <x:si>
    <x:t>A</x:t>
  </x:si>
  <x:si>
    <x:t>Mirabel Lennerman</x:t>
  </x:si>
  <x:si>
    <x:t>10</x:t>
  </x:si>
  <x:si>
    <x:t>Uppsala</x:t>
  </x:si>
  <x:si>
    <x:t>Thea Lundell</x:t>
  </x:si>
  <x:si>
    <x:t>Grund</x:t>
  </x:si>
  <x:si>
    <x:t>Team Aquila</x:t>
  </x:si>
  <x:si>
    <x:t>Vera Bjarnemo</x:t>
  </x:si>
  <x:si>
    <x:t>Uppsala Voltige</x:t>
  </x:si>
  <x:si>
    <x:t>Elvira Androos Lööv</x:t>
  </x:si>
  <x:si>
    <x:t>SE</x:t>
  </x:si>
  <x:si>
    <x:t>Tilda Månsson</x:t>
  </x:si>
  <x:si>
    <x:t>Rörlig Movie</x:t>
  </x:si>
  <x:si>
    <x:t>7)</x:t>
  </x:si>
  <x:si>
    <x:t>-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</x:si>
  <x:si>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</x:si>
  <x:si>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</x:si>
  <x:si>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</x:si>
  <x:si>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</x:si>
  <x:si>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</x:si>
  <x:si>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</x:si>
  <x:si>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</x:si>
  <x:si>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</x:si>
  <x:si>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</x:si>
  <x:si>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</x:si>
  <x:si>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</x:si>
  <x:si>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</x:si>
  <x:si>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</x:si>
  <x:si>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</x:si>
  <x:si>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</x:si>
  <x:si>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</x:si>
  <x:si>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Anna Andersson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</x:si>
  <x:si>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</x:si>
  <x:si>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</x:si>
  <x:si>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</x:si>
  <x:si>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</x:si>
  <x:si>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</x:si>
  <x:si>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</x:si>
  <x:si>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</x:si>
  <x:si>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</x:si>
  <x:si>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</x:si>
  <x:si>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</x:si>
  <x:si>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</x:si>
  <x:si>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</x:si>
  <x:si>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</x:si>
  <x:si>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</x:si>
  <x:si>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</x:si>
  <x:si>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</x:si>
  <x:si>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</x:si>
  <x:si>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</x:si>
  <x:si>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</x:si>
  <x:si>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</x:si>
  <x:si>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</x:si>
  <x:si>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</x:si>
  <x:si>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</x:si>
  <x:si>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</x:si>
  <x:si>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</x:si>
  <x:si>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</x:si>
  <x:si>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</x:si>
  <x:si>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</x:si>
  <x:si>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</x:si>
  <x:si>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 xml:space="preserve">Svår klass seniorlag kür </x:t>
  </x:si>
  <x:si>
    <x:t>Max. 25 övningar räknas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</x:si>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</x:sst>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20" width="9.132812" style="1" customWidth="1"/>
    <x:col min="21" max="21" width="9.132812" style="1" hidden="1" customWidth="1"/>
    <x:col min="22" max="16384" width="9.132812" style="1" customWidth="1"/>
  </x:cols>
  <x:sheetData>
    <x:row r="1" spans="1:22" customFormat="1" ht="6" customHeight="1" thickBot="1" x14ac:dyDescent="0.35">
      <x:c r="U1" s="1" t="s">
        <x:v>97</x:v>
      </x:c>
    </x:row>
    <x:row r="2" spans="1:22" customFormat="1" ht="24" customHeight="1" thickBot="1" x14ac:dyDescent="0.4">
      <x:c r="A2" s="7" t="s">
        <x:v>98</x:v>
      </x:c>
      <x:c r="K2" s="1" t="s">
        <x:v>49</x:v>
      </x:c>
      <x:c r="R2" s="9" t="s"/>
      <x:c r="S2" s="13" t="s">
        <x:v>41</x:v>
      </x:c>
      <x:c r="T2" s="10" t="s"/>
      <x:c r="U2" s="11" t="s"/>
      <x:c r="V2" s="11" t="n">
        <x:v>3</x:v>
      </x:c>
    </x:row>
    <x:row r="3" spans="1:22" customFormat="1" ht="24" customHeight="1" thickBot="1" x14ac:dyDescent="0.35">
      <x:c r="A3" s="4" t="s">
        <x:v>99</x:v>
      </x:c>
      <x:c r="J3" s="165">
        <x:f>IF(L3&lt;&gt;0,J2+1,"0")</x:f>
      </x:c>
      <x:c r="K3" s="2" t="s">
        <x:v>51</x:v>
      </x:c>
      <x:c r="L3" s="40" t="s">
        <x:v>100</x:v>
      </x:c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>
        <x:v>101</x:v>
      </x:c>
    </x:row>
    <x:row r="4" spans="1:22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J4" s="165">
        <x:f>IF(L4&lt;&gt;0,J3+1,"0")</x:f>
      </x:c>
      <x:c r="K4" s="12" t="s">
        <x:v>53</x:v>
      </x:c>
      <x:c r="L4" s="92" t="s">
        <x:v>102</x:v>
      </x:c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>
        <x:v>103</x:v>
      </x:c>
    </x:row>
    <x:row r="5" spans="1:22" customFormat="1" ht="24" customHeight="1" thickBot="1" x14ac:dyDescent="0.35">
      <x:c r="A5" s="12" t="s">
        <x:v>46</x:v>
      </x:c>
      <x:c r="B5" s="12" t="s"/>
      <x:c r="C5" s="92" t="s">
        <x:v>104</x:v>
      </x:c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>
        <x:v>105</x:v>
      </x:c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>
        <x:v>106</x:v>
      </x:c>
    </x:row>
    <x:row r="6" spans="1:22" customFormat="1" ht="19.5" customHeight="1" x14ac:dyDescent="0.3">
      <x:c r="A6" s="12" t="s">
        <x:v>48</x:v>
      </x:c>
      <x:c r="B6" s="12" t="s"/>
      <x:c r="C6" s="92" t="s">
        <x:v>107</x:v>
      </x:c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>
        <x:v>108</x:v>
      </x:c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>
        <x:v>109</x:v>
      </x:c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>
        <x:v>110</x:v>
      </x:c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>
        <x:v>111</x:v>
      </x:c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>
        <x:v>112</x:v>
      </x:c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>
        <x:v>113</x:v>
      </x:c>
      <x:c r="D9" s="92" t="s"/>
      <x:c r="E9" s="92" t="s"/>
      <x:c r="F9" s="92" t="s"/>
      <x:c r="J9" s="165">
        <x:f>IF(L9&lt;&gt;0,J8+1,"0")</x:f>
      </x:c>
      <x:c r="K9" s="12" t="s">
        <x:v>114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>
        <x:v>115</x:v>
      </x:c>
      <x:c r="D10" s="92" t="s"/>
      <x:c r="E10" s="92" t="s"/>
      <x:c r="F10" s="92" t="s"/>
      <x:c r="J10" s="165">
        <x:f>IF(L10&lt;&gt;0,J9+1,"0")</x:f>
      </x:c>
      <x:c r="K10" s="12" t="s">
        <x:v>116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117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118</x:v>
      </x:c>
    </x:row>
    <x:row r="15" spans="1:22" s="0" customFormat="1" ht="20.1" customHeight="1" x14ac:dyDescent="0.3">
      <x:c r="A15" s="219" t="s"/>
      <x:c r="B15" s="220" t="s">
        <x:v>119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  <x:c r="U15" s="0" t="s"/>
    </x:row>
    <x:row r="16" spans="1:22" customFormat="1" ht="20.1" customHeight="1" x14ac:dyDescent="0.3">
      <x:c r="A16" s="219" t="s"/>
      <x:c r="B16" s="69" t="s">
        <x:v>120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121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122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123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124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125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126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127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128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129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130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131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>
        <x:v>132</x:v>
      </x:c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133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134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114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116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117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118</x:v>
      </x:c>
    </x:row>
    <x:row r="15" spans="1:20" customFormat="1" ht="20.1" customHeight="1" x14ac:dyDescent="0.3">
      <x:c r="A15" s="219" t="s"/>
      <x:c r="B15" s="220" t="s">
        <x:v>119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135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120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121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122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123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124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136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127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128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129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130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131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137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106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114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116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117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118</x:v>
      </x:c>
    </x:row>
    <x:row r="16" spans="1:21" customFormat="1" ht="20.1" customHeight="1" x14ac:dyDescent="0.3">
      <x:c r="A16" s="219" t="s"/>
      <x:c r="B16" s="220" t="s">
        <x:v>119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135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120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124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138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139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140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127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128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141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142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143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144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145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114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116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117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146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147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148</x:v>
      </x:c>
    </x:row>
    <x:row r="22" spans="1:13" customFormat="1" ht="15" customHeight="1" x14ac:dyDescent="0.3">
      <x:c r="G22" s="26" t="s"/>
      <x:c r="H22" s="122" t="s">
        <x:v>149</x:v>
      </x:c>
      <x:c r="I22" s="78" t="s"/>
      <x:c r="K22" s="17" t="s">
        <x:v>150</x:v>
      </x:c>
    </x:row>
    <x:row r="23" spans="1:13" customFormat="1" ht="15" customHeight="1" x14ac:dyDescent="0.3">
      <x:c r="B23" s="110" t="s">
        <x:v>151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152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153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154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155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156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157</x:v>
      </x:c>
      <x:c r="C30" s="70" t="s"/>
      <x:c r="D30" s="83" t="s"/>
      <x:c r="E30" s="266" t="s"/>
      <x:c r="F30" s="69" t="s">
        <x:v>158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147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159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160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161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114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116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117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146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147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148</x:v>
      </x:c>
    </x:row>
    <x:row r="22" spans="1:13" customFormat="1" ht="15" customHeight="1" x14ac:dyDescent="0.3">
      <x:c r="G22" s="26" t="s"/>
      <x:c r="H22" s="122" t="s">
        <x:v>149</x:v>
      </x:c>
      <x:c r="I22" s="78" t="s"/>
      <x:c r="K22" s="17" t="s">
        <x:v>150</x:v>
      </x:c>
    </x:row>
    <x:row r="23" spans="1:13" customFormat="1" ht="15" customHeight="1" x14ac:dyDescent="0.3">
      <x:c r="B23" s="110" t="s">
        <x:v>151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152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153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154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155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156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157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158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147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159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160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162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114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116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117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146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s="0" customFormat="1" ht="18" customHeight="1" x14ac:dyDescent="0.3">
      <x:c r="A20" s="265" t="s">
        <x:v>147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</x:row>
    <x:row r="21" spans="1:13" customFormat="1" ht="19.5" customHeight="1" x14ac:dyDescent="0.35">
      <x:c r="A21" s="7" t="s">
        <x:v>148</x:v>
      </x:c>
    </x:row>
    <x:row r="22" spans="1:13" customFormat="1" ht="15" customHeight="1" x14ac:dyDescent="0.3">
      <x:c r="G22" s="26" t="s"/>
      <x:c r="H22" s="109" t="s">
        <x:v>163</x:v>
      </x:c>
      <x:c r="I22" s="78" t="s"/>
      <x:c r="K22" s="17" t="s">
        <x:v>150</x:v>
      </x:c>
    </x:row>
    <x:row r="23" spans="1:13" customFormat="1" ht="15" customHeight="1" x14ac:dyDescent="0.3">
      <x:c r="B23" s="110" t="s">
        <x:v>151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13" customFormat="1" ht="15" customHeight="1" x14ac:dyDescent="0.3">
      <x:c r="B24" s="110" t="s">
        <x:v>152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13" customFormat="1" ht="15" customHeight="1" x14ac:dyDescent="0.3">
      <x:c r="B25" s="110" t="s">
        <x:v>153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13" customFormat="1" ht="12.75" customHeight="1" thickBot="1" x14ac:dyDescent="0.35">
      <x:c r="B26" s="69" t="s">
        <x:v>154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13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155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13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13" customFormat="1" ht="19.5" customHeight="1" x14ac:dyDescent="0.3">
      <x:c r="A29" s="4" t="s">
        <x:v>156</x:v>
      </x:c>
    </x:row>
    <x:row r="30" spans="1:13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13" customFormat="1" ht="15" customHeight="1" x14ac:dyDescent="0.3">
      <x:c r="B31" s="69" t="s">
        <x:v>157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158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13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13" x14ac:dyDescent="0.3">
      <x:c r="I33" s="88" t="s"/>
      <x:c r="J33" s="89" t="s"/>
      <x:c r="K33" s="90" t="s"/>
    </x:row>
    <x:row r="34" spans="1:13" customFormat="1" ht="15" customHeight="1" x14ac:dyDescent="0.3">
      <x:c r="E34" s="91" t="s">
        <x:v>147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13" customFormat="1" ht="7.5" customHeight="1" thickBot="1" x14ac:dyDescent="0.35">
      <x:c r="K35" s="90" t="s"/>
      <x:c r="L35" s="79" t="s"/>
    </x:row>
    <x:row r="36" spans="1:13" customFormat="1" ht="20.25" customHeight="1" thickBot="1" x14ac:dyDescent="0.35">
      <x:c r="G36" s="94" t="s">
        <x:v>159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13" customFormat="1" ht="11.25" customHeight="1" thickBot="1" x14ac:dyDescent="0.35"/>
    <x:row r="38" spans="1:13" customFormat="1" ht="20.25" customHeight="1" thickBot="1" x14ac:dyDescent="0.35">
      <x:c r="I38" s="66" t="s">
        <x:v>160</x:v>
      </x:c>
      <x:c r="J38" s="67" t="s"/>
      <x:c r="K38" s="67" t="s"/>
      <x:c r="L38" s="99">
        <x:f>ROUND(K27*0.3 + K36*0.7,3)</x:f>
      </x:c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164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114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116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117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166</x:v>
      </x:c>
    </x:row>
    <x:row r="17" spans="1:13" s="0" customFormat="1" ht="54.75" customHeight="1" thickBot="1" x14ac:dyDescent="0.35">
      <x:c r="A17" s="171" t="s">
        <x:v>167</x:v>
      </x:c>
      <x:c r="B17" s="240" t="s">
        <x:v>168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169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170</x:v>
      </x:c>
      <x:c r="B18" s="246" t="s">
        <x:v>171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172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173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174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175</x:v>
      </x:c>
      <x:c r="B20" s="248" t="s">
        <x:v>176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177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178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179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118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180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181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164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165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114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116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117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166</x:v>
      </x:c>
    </x:row>
    <x:row r="17" spans="1:13" s="0" customFormat="1" ht="54.75" customHeight="1" thickBot="1" x14ac:dyDescent="0.35">
      <x:c r="A17" s="171" t="s">
        <x:v>167</x:v>
      </x:c>
      <x:c r="B17" s="240" t="s">
        <x:v>182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169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170</x:v>
      </x:c>
      <x:c r="B18" s="246" t="s">
        <x:v>183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184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185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174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175</x:v>
      </x:c>
      <x:c r="B20" s="248" t="s">
        <x:v>186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187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188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189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118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180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181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2026-03-15T11:25:24.7479506Z</dcterms:modified>
</coreProperties>
</file>