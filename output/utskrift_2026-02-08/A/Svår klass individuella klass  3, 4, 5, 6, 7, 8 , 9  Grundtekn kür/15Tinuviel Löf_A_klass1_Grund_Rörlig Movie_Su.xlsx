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2" activeTab="2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r:id="rId3"/>
    <x:sheet name="Individuell junior grund B" sheetId="24" state="hidden" r:id="rId4"/>
    <x:sheet name="Individuell senior grund C" sheetId="26" state="hidden" r:id="rId5"/>
    <x:sheet name="Ind kür tekn minior" sheetId="38" state="hidden" r:id="rId6"/>
    <x:sheet name="Ind kür tekn junior" sheetId="40" state="hidden" r:id="rId7"/>
    <x:sheet name="Ind kür tekn senior" sheetId="33" state="hidden" r:id="rId8"/>
    <x:sheet name="Ind kür artistisk minior" sheetId="42" state="hidden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<x:sst xmlns:x="http://schemas.openxmlformats.org/spreadsheetml/2006/main" count="222" uniqueCount="222">
  <x:si>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</x:si>
  <x:si>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</x:si>
  <x:si>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</x:si>
  <x:si>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</x:si>
  <x:si>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</x:si>
  <x:si>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</x:si>
  <x:si>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</x:si>
  <x:si>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</x:si>
  <x:si>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</x:si>
  <x:si>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</x:si>
  <x:si>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</x:si>
  <x:si>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</x:si>
  <x:si>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</x:si>
  <x:si>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</x:si>
  <x:si>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</x:si>
  <x:si>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</x:si>
  <x:si>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</x:si>
  <x:si>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</x:si>
  <x:si>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</x:si>
  <x:si>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</x:si>
  <x:si>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</x:si>
  <x:si>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</x:si>
  <x:si>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</x:si>
  <x:si>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</x:si>
  <x:si>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</x:si>
  <x:si>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</x:si>
  <x:si>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</x:si>
  <x:si>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</x:si>
  <x:si>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</x:si>
  <x:si>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</x:si>
  <x:si>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</x:si>
  <x:si>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</x:si>
  <x:si>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</x:si>
  <x:si>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</x:si>
  <x:si>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</x:si>
  <x:si>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</x:si>
  <x:si>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</x:si>
  <x:si>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</x:si>
  <x:si>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</x:si>
  <x:si>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</x:si>
  <x:si>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</x:si>
  <x:si>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</x:si>
  <x:si>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</x:si>
  <x:si>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</x:si>
  <x:si>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</x:si>
  <x:si>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</x:si>
  <x:si>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</x:si>
  <x:si>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</x:si>
  <x:si>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</x:si>
  <x:si>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</x:si>
  <x:si>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</x:si>
  <x:si>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</x:si>
  <x:si>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</x:si>
  <x:si>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</x:si>
  <x:si>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</x:si>
  <x:si>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</x:si>
  <x:si>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</x:si>
  <x:si>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</x:si>
  <x:si>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</x:si>
  <x:si>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</x:si>
  <x:si>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</x:si>
  <x:si>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</x:si>
  <x:si>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</x:si>
  <x:si>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</x:si>
  <x:si>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</x:si>
  <x:si>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</x:si>
  <x:si>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</x:si>
  <x:si>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</x:si>
  <x:si>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</x:si>
  <x:si>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</x:si>
  <x:si>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</x:si>
  <x:si>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</x:si>
  <x:si>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</x:si>
  <x:si>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</x:si>
  <x:si>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</x:si>
  <x:si>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</x:si>
  <x:si>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</x:si>
  <x:si>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</x:si>
  <x:si>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</x:si>
  <x:si>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</x:si>
  <x:si>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</x:si>
  <x:si>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</x:si>
  <x:si>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</x:si>
  <x:si>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</x:si>
  <x:si>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</x:si>
  <x:si>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</x:si>
  <x:si>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</x:si>
  <x:si>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</x:si>
  <x:si>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</x:si>
  <x:si>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</x:si>
  <x:si>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</x:si>
  <x:si>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</x:si>
  <x:si>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id_53885_1_38747_1_A</x:t>
  </x:si>
  <x:si>
    <x:t>Individuell 1*</x:t>
  </x:si>
  <x:si>
    <x:t>Grundövningar</x:t>
  </x:si>
  <x:si>
    <x:t>A</x:t>
  </x:si>
  <x:si>
    <x:t>1</x:t>
  </x:si>
  <x:si>
    <x:t>Uppsala</x:t>
  </x:si>
  <x:si>
    <x:t>Tinuviel Löf</x:t>
  </x:si>
  <x:si>
    <x:t>Uppsala Voltige</x:t>
  </x:si>
  <x:si>
    <x:t>Vit 20</x:t>
  </x:si>
  <x:si>
    <x:t>SE</x:t>
  </x:si>
  <x:si>
    <x:t>Rörlig Movie</x:t>
  </x:si>
  <x:si>
    <x:t>-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</x:si>
  <x:si>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</x:si>
  <x:si>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</x:si>
  <x:si>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</x:si>
  <x:si>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</x:si>
  <x:si>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</x:si>
  <x:si>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</x:si>
  <x:si>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</x:si>
  <x:si>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</x:si>
  <x:si>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</x:si>
  <x:si>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</x:si>
  <x:si>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</x:si>
  <x:si>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Matilda Lancing</x:t>
  </x:si>
  <x:si>
    <x:t>Signatur:</x:t>
  </x:si>
  <x:si>
    <x:t>Individuell 2*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</x:si>
  <x:si>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</x:si>
  <x:si>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</x:si>
  <x:si>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</x:si>
  <x:si>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</x:si>
  <x:si>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</x:si>
  <x:si>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Individuell 3*</x:t>
  </x:si>
  <x:si>
    <x:t>Sidhopp del 1, kvarnlyft till fri sits</x:t>
  </x:si>
  <x:si>
    <x:t>Avhopp utåt</x:t>
  </x:si>
  <x:si>
    <x:t>Individuell kür 1*</x:t>
  </x:si>
  <x:si>
    <x:t>Teknisk bedömning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</x:si>
  <x:si>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</x:si>
  <x:si>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</x:si>
  <x:si>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</x:si>
  <x:si>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</x:si>
  <x:si>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</x:si>
  <x:si>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</x:si>
  <x:si>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</x:si>
  <x:si>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</x:si>
  <x:si>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</x:si>
  <x:si>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</x:si>
  <x:si>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Individuell kür 2*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</x:si>
  <x:si>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</x:si>
  <x:si>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</x:si>
  <x:si>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</x:si>
  <x:si>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</x:si>
  <x:si>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</x:si>
  <x:si>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</x:si>
  <x:si>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</x:si>
  <x:si>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</x:si>
  <x:si>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Individuell kür 3*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</x:si>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</x:sst>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FFFFFF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6" customHeight="1" thickBot="1" x14ac:dyDescent="0.35">
      <x:c r="U1" s="1" t="s">
        <x:v>92</x:v>
      </x:c>
    </x:row>
    <x:row r="2" spans="1:21" customFormat="1" ht="24" customHeight="1" thickBot="1" x14ac:dyDescent="0.4">
      <x:c r="A2" s="3" t="s">
        <x:v>93</x:v>
      </x:c>
      <x:c r="H2" s="13" t="s"/>
      <x:c r="I2" s="14" t="s">
        <x:v>56</x:v>
      </x:c>
      <x:c r="J2" s="15" t="s"/>
      <x:c r="K2" s="16" t="s"/>
      <x:c r="L2" s="16" t="n">
        <x:v>15</x:v>
      </x:c>
    </x:row>
    <x:row r="3" spans="1:21" customFormat="1" ht="24" customHeight="1" thickBot="1" x14ac:dyDescent="0.35">
      <x:c r="A3" s="4" t="s">
        <x:v>94</x:v>
      </x:c>
      <x:c r="H3" s="13" t="s"/>
      <x:c r="I3" s="14" t="s">
        <x:v>58</x:v>
      </x:c>
      <x:c r="J3" s="15" t="s"/>
      <x:c r="K3" s="16" t="s"/>
      <x:c r="L3" s="16" t="s">
        <x:v>95</x:v>
      </x:c>
    </x:row>
    <x:row r="4" spans="1:2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96</x:v>
      </x:c>
    </x:row>
    <x:row r="5" spans="1:21" customFormat="1" ht="24" customHeight="1" thickBot="1" x14ac:dyDescent="0.35">
      <x:c r="A5" s="11" t="s">
        <x:v>61</x:v>
      </x:c>
      <x:c r="B5" s="11" t="s"/>
      <x:c r="C5" s="242" t="s">
        <x:v>97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43</x:v>
      </x:c>
    </x:row>
    <x:row r="6" spans="1:21" customFormat="1" ht="19.5" customHeight="1" thickBot="1" x14ac:dyDescent="0.35">
      <x:c r="A6" s="11" t="s">
        <x:v>63</x:v>
      </x:c>
      <x:c r="B6" s="11" t="s"/>
      <x:c r="C6" s="242" t="s">
        <x:v>98</x:v>
      </x:c>
      <x:c r="D6" s="242" t="s"/>
      <x:c r="E6" s="242" t="s"/>
      <x:c r="F6" s="242" t="s"/>
      <x:c r="K6" s="30" t="s"/>
    </x:row>
    <x:row r="7" spans="1:21" customFormat="1" ht="17.1" customHeight="1" thickBot="1" x14ac:dyDescent="0.35">
      <x:c r="A7" s="11" t="s">
        <x:v>64</x:v>
      </x:c>
      <x:c r="B7" s="11" t="s"/>
      <x:c r="C7" s="11" t="s">
        <x:v>99</x:v>
      </x:c>
      <x:c r="D7" s="11" t="s"/>
      <x:c r="E7" s="11" t="s"/>
      <x:c r="F7" s="11" t="s"/>
      <x:c r="J7" s="22" t="s">
        <x:v>65</x:v>
      </x:c>
      <x:c r="K7" s="31" t="s"/>
      <x:c r="L7" s="27" t="s">
        <x:v>100</x:v>
      </x:c>
    </x:row>
    <x:row r="8" spans="1:21" customFormat="1" ht="17.1" customHeight="1" x14ac:dyDescent="0.3">
      <x:c r="A8" s="2" t="s">
        <x:v>66</x:v>
      </x:c>
      <x:c r="B8" s="2" t="s"/>
      <x:c r="C8" s="242" t="s">
        <x:v>101</x:v>
      </x:c>
      <x:c r="D8" s="242" t="s"/>
      <x:c r="E8" s="242" t="s"/>
      <x:c r="F8" s="242" t="s"/>
      <x:c r="L8" s="517" t="s"/>
    </x:row>
    <x:row r="9" spans="1:21" customFormat="1" ht="17.1" customHeight="1" x14ac:dyDescent="0.3">
      <x:c r="A9" s="11" t="s">
        <x:v>67</x:v>
      </x:c>
      <x:c r="B9" s="11" t="s"/>
      <x:c r="C9" s="242" t="s">
        <x:v>102</x:v>
      </x:c>
      <x:c r="D9" s="242" t="s"/>
      <x:c r="E9" s="242" t="s"/>
      <x:c r="F9" s="242" t="s"/>
    </x:row>
    <x:row r="10" spans="1:21" customFormat="1" ht="17.1" customHeight="1" x14ac:dyDescent="0.3">
      <x:c r="A10" s="11" t="s">
        <x:v>68</x:v>
      </x:c>
      <x:c r="B10" s="11" t="s"/>
      <x:c r="C10" s="242" t="s">
        <x:v>103</x:v>
      </x:c>
      <x:c r="D10" s="242" t="s"/>
      <x:c r="E10" s="242" t="s"/>
      <x:c r="F10" s="242" t="s"/>
    </x:row>
    <x:row r="11" spans="1:21" customFormat="1" ht="17.1" customHeight="1" x14ac:dyDescent="0.3"/>
    <x:row r="12" spans="1:21" customFormat="1" ht="57.75" customHeight="1" x14ac:dyDescent="0.3"/>
    <x:row r="13" spans="1:21" customFormat="1" ht="16.5" hidden="1" customHeight="1" x14ac:dyDescent="0.3"/>
    <x:row r="14" spans="1:21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104</x:v>
      </x:c>
    </x:row>
    <x:row r="15" spans="1:21" s="0" customFormat="1" ht="20.1" customHeight="1" x14ac:dyDescent="0.3">
      <x:c r="A15" s="211" t="s">
        <x:v>105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8" t="s"/>
      <x:c r="M15" s="0" t="s"/>
      <x:c r="U15" s="0" t="s"/>
    </x:row>
    <x:row r="16" spans="1:21" customFormat="1" ht="20.1" customHeight="1" x14ac:dyDescent="0.3">
      <x:c r="A16" s="211" t="s">
        <x:v>106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8" t="s"/>
    </x:row>
    <x:row r="17" spans="1:21" customFormat="1" ht="20.1" customHeight="1" x14ac:dyDescent="0.3">
      <x:c r="A17" s="209" t="s">
        <x:v>107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8" t="s"/>
    </x:row>
    <x:row r="18" spans="1:21" customFormat="1" ht="20.1" customHeight="1" x14ac:dyDescent="0.3">
      <x:c r="A18" s="211" t="s">
        <x:v>108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8" t="s"/>
    </x:row>
    <x:row r="19" spans="1:21" customFormat="1" ht="20.1" customHeight="1" x14ac:dyDescent="0.3">
      <x:c r="A19" s="211" t="s">
        <x:v>109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8" t="s"/>
    </x:row>
    <x:row r="20" spans="1:21" customFormat="1" ht="20.1" customHeight="1" x14ac:dyDescent="0.3">
      <x:c r="A20" s="54" t="s">
        <x:v>110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8" t="s"/>
    </x:row>
    <x:row r="21" spans="1:21" customFormat="1" ht="20.1" customHeight="1" x14ac:dyDescent="0.3">
      <x:c r="A21" s="211" t="s">
        <x:v>111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8" t="s"/>
    </x:row>
    <x:row r="22" spans="1:21" customFormat="1" ht="20.1" customHeight="1" x14ac:dyDescent="0.3">
      <x:c r="K22" s="37" t="s"/>
      <x:c r="L22" s="37" t="s"/>
    </x:row>
    <x:row r="23" spans="1:21" customFormat="1" ht="15.75" customHeight="1" x14ac:dyDescent="0.3">
      <x:c r="I23" s="38" t="s"/>
      <x:c r="J23" s="39" t="s"/>
      <x:c r="K23" s="38" t="s">
        <x:v>112</x:v>
      </x:c>
      <x:c r="L23" s="35">
        <x:f>SUM(L15:L21)</x:f>
      </x:c>
    </x:row>
    <x:row r="24" spans="1:21" customFormat="1" ht="18.75" customHeight="1" x14ac:dyDescent="0.3">
      <x:c r="K24" s="38" t="s">
        <x:v>113</x:v>
      </x:c>
      <x:c r="L24" s="39" t="s"/>
    </x:row>
    <x:row r="25" spans="1:21" customFormat="1" ht="18.75" customHeight="1" thickBot="1" x14ac:dyDescent="0.35">
      <x:c r="F25" s="40" t="s"/>
      <x:c r="I25" s="38" t="s"/>
      <x:c r="J25" s="41" t="s"/>
    </x:row>
    <x:row r="26" spans="1:21" s="173" customFormat="1" ht="21.75" customHeight="1" thickBot="1" x14ac:dyDescent="0.4">
      <x:c r="H26" s="194" t="s"/>
      <x:c r="I26" s="43" t="s">
        <x:v>114</x:v>
      </x:c>
      <x:c r="J26" s="195" t="s"/>
      <x:c r="K26" s="196" t="s"/>
      <x:c r="L26" s="46">
        <x:f>ROUND(L23/7,3)</x:f>
      </x:c>
      <x:c r="M26" s="198" t="s"/>
      <x:c r="U26" s="173" t="s"/>
    </x:row>
    <x:row r="27" spans="1:21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21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21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21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21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21" customFormat="1" ht="18" customHeight="1" x14ac:dyDescent="0.3">
      <x:c r="A32" s="2" t="s">
        <x:v>90</x:v>
      </x:c>
      <x:c r="B32" s="29" t="s"/>
      <x:c r="C32" s="29" t="s">
        <x:v>115</x:v>
      </x:c>
      <x:c r="D32" s="29" t="s"/>
      <x:c r="E32" s="29" t="s"/>
      <x:c r="F32" s="47" t="s"/>
      <x:c r="H32" s="2" t="s">
        <x:v>116</x:v>
      </x:c>
      <x:c r="I32" s="2" t="s"/>
      <x:c r="J32" s="2" t="s"/>
      <x:c r="K32" s="2" t="s"/>
      <x:c r="L32" s="2" t="s"/>
    </x:row>
    <x:row r="33" spans="1:21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117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94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9.75" customHeight="1" x14ac:dyDescent="0.3"/>
    <x:row r="14" spans="1:13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104</x:v>
      </x:c>
    </x:row>
    <x:row r="15" spans="1:13" s="0" customFormat="1" ht="20.1" customHeight="1" x14ac:dyDescent="0.3">
      <x:c r="A15" s="211" t="s">
        <x:v>105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8" t="s"/>
      <x:c r="M15" s="0" t="s"/>
    </x:row>
    <x:row r="16" spans="1:13" customFormat="1" ht="20.1" customHeight="1" x14ac:dyDescent="0.3">
      <x:c r="A16" s="211" t="s">
        <x:v>106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8" t="s"/>
    </x:row>
    <x:row r="17" spans="1:13" customFormat="1" ht="20.1" customHeight="1" x14ac:dyDescent="0.3">
      <x:c r="A17" s="209" t="s">
        <x:v>107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8" t="s"/>
    </x:row>
    <x:row r="18" spans="1:13" customFormat="1" ht="20.1" customHeight="1" x14ac:dyDescent="0.3">
      <x:c r="A18" s="211" t="s">
        <x:v>118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8" t="s"/>
    </x:row>
    <x:row r="19" spans="1:13" customFormat="1" ht="20.1" customHeight="1" x14ac:dyDescent="0.3">
      <x:c r="A19" s="211" t="s">
        <x:v>119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8" t="s"/>
    </x:row>
    <x:row r="20" spans="1:13" customFormat="1" ht="20.1" customHeight="1" x14ac:dyDescent="0.3">
      <x:c r="A20" s="211" t="s">
        <x:v>120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8" t="s"/>
    </x:row>
    <x:row r="21" spans="1:13" customFormat="1" ht="20.1" customHeight="1" x14ac:dyDescent="0.3">
      <x:c r="A21" s="211" t="s">
        <x:v>108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8" t="s"/>
    </x:row>
    <x:row r="22" spans="1:13" customFormat="1" ht="20.1" customHeight="1" x14ac:dyDescent="0.3">
      <x:c r="A22" s="211" t="s">
        <x:v>121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8" t="s"/>
    </x:row>
    <x:row r="23" spans="1:13" customFormat="1" ht="20.1" customHeight="1" x14ac:dyDescent="0.3">
      <x:c r="K23" s="37" t="s"/>
      <x:c r="L23" s="37" t="s"/>
    </x:row>
    <x:row r="24" spans="1:13" customFormat="1" ht="15.75" customHeight="1" x14ac:dyDescent="0.3">
      <x:c r="I24" s="38" t="s"/>
      <x:c r="J24" s="39" t="s"/>
      <x:c r="K24" s="38" t="s">
        <x:v>112</x:v>
      </x:c>
      <x:c r="L24" s="35">
        <x:f>SUM(L15:L22)</x:f>
      </x:c>
    </x:row>
    <x:row r="25" spans="1:13" customFormat="1" ht="18.75" customHeight="1" x14ac:dyDescent="0.3">
      <x:c r="K25" s="38" t="s">
        <x:v>122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21.75" customHeight="1" thickBot="1" x14ac:dyDescent="0.35">
      <x:c r="H27" s="42" t="s"/>
      <x:c r="I27" s="43" t="s">
        <x:v>114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116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123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94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104</x:v>
      </x:c>
    </x:row>
    <x:row r="15" spans="1:13" s="0" customFormat="1" ht="32.35" customHeight="1" x14ac:dyDescent="0.3">
      <x:c r="A15" s="211" t="s">
        <x:v>105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8" t="s"/>
      <x:c r="M15" s="0" t="s"/>
    </x:row>
    <x:row r="16" spans="1:13" customFormat="1" ht="32.35" customHeight="1" x14ac:dyDescent="0.3">
      <x:c r="A16" s="209" t="s">
        <x:v>107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8" t="s"/>
    </x:row>
    <x:row r="17" spans="1:13" customFormat="1" ht="32.35" customHeight="1" x14ac:dyDescent="0.3">
      <x:c r="A17" s="211" t="s">
        <x:v>118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8" t="s"/>
    </x:row>
    <x:row r="18" spans="1:13" customFormat="1" ht="32.35" customHeight="1" x14ac:dyDescent="0.3">
      <x:c r="A18" s="211" t="s">
        <x:v>119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8" t="s"/>
    </x:row>
    <x:row r="19" spans="1:13" customFormat="1" ht="32.35" customHeight="1" x14ac:dyDescent="0.3">
      <x:c r="A19" s="211" t="s">
        <x:v>120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8" t="s"/>
    </x:row>
    <x:row r="20" spans="1:13" customFormat="1" ht="32.35" customHeight="1" x14ac:dyDescent="0.3">
      <x:c r="A20" s="211" t="s">
        <x:v>108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8" t="s"/>
    </x:row>
    <x:row r="21" spans="1:13" customFormat="1" ht="32.35" customHeight="1" x14ac:dyDescent="0.3">
      <x:c r="A21" s="211" t="s">
        <x:v>124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8" t="s"/>
    </x:row>
    <x:row r="22" spans="1:13" customFormat="1" ht="32.35" customHeight="1" x14ac:dyDescent="0.3">
      <x:c r="A22" s="211" t="s">
        <x:v>125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8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112</x:v>
      </x:c>
      <x:c r="L24" s="35">
        <x:f>SUM(L15:L22)</x:f>
      </x:c>
    </x:row>
    <x:row r="25" spans="1:13" customFormat="1" ht="18.75" customHeight="1" x14ac:dyDescent="0.3">
      <x:c r="K25" s="38" t="s">
        <x:v>122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114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116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16384" width="9.132812" style="1" customWidth="1"/>
  </x:cols>
  <x:sheetData>
    <x:row r="1" spans="1:12" customFormat="1" ht="6" customHeight="1" thickBot="1" x14ac:dyDescent="0.35"/>
    <x:row r="2" spans="1:12" customFormat="1" ht="22.5" customHeight="1" thickBot="1" x14ac:dyDescent="0.4">
      <x:c r="A2" s="278" t="s">
        <x:v>126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2" customFormat="1" ht="24" customHeight="1" thickBot="1" x14ac:dyDescent="0.35">
      <x:c r="A3" s="4" t="s">
        <x:v>127</x:v>
      </x:c>
      <x:c r="H3" s="13" t="s"/>
      <x:c r="I3" s="14" t="s">
        <x:v>58</x:v>
      </x:c>
      <x:c r="J3" s="15" t="s"/>
      <x:c r="K3" s="16" t="s"/>
      <x:c r="L3" s="16" t="s"/>
    </x:row>
    <x:row r="4" spans="1:12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2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2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2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2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2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2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2" customFormat="1" ht="33.75" customHeight="1" x14ac:dyDescent="0.3"/>
    <x:row r="12" spans="1:12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12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2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2" s="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</x:row>
    <x:row r="16" spans="1:12" customFormat="1" ht="19.5" customHeight="1" thickBot="1" x14ac:dyDescent="0.4">
      <x:c r="A16" s="3" t="s">
        <x:v>130</x:v>
      </x:c>
    </x:row>
    <x:row r="17" spans="1:12" customFormat="1" ht="15" customHeight="1" thickBot="1" x14ac:dyDescent="0.35">
      <x:c r="H17" s="170" t="s"/>
      <x:c r="I17" s="70" t="s"/>
      <x:c r="K17" s="171" t="s">
        <x:v>131</x:v>
      </x:c>
    </x:row>
    <x:row r="18" spans="1:12" customFormat="1" ht="15" customHeight="1" x14ac:dyDescent="0.3">
      <x:c r="K18" s="30" t="s"/>
    </x:row>
    <x:row r="19" spans="1:12" customFormat="1" ht="15" customHeight="1" x14ac:dyDescent="0.3">
      <x:c r="K19" s="30" t="s"/>
    </x:row>
    <x:row r="20" spans="1:12" customFormat="1" ht="15" customHeight="1" x14ac:dyDescent="0.3">
      <x:c r="K20" s="30" t="s"/>
    </x:row>
    <x:row r="21" spans="1:12" customFormat="1" ht="15" customHeight="1" x14ac:dyDescent="0.3">
      <x:c r="K21" s="30" t="s"/>
    </x:row>
    <x:row r="23" spans="1:12" customFormat="1" ht="21" customHeight="1" x14ac:dyDescent="0.35">
      <x:c r="G23" s="172" t="s"/>
      <x:c r="J23" s="173" t="s"/>
      <x:c r="K23" s="91" t="s"/>
      <x:c r="L23" s="82" t="s"/>
    </x:row>
    <x:row r="24" spans="1:12" customFormat="1" ht="23.25" customHeight="1" x14ac:dyDescent="0.3">
      <x:c r="A24" s="4" t="s">
        <x:v>132</x:v>
      </x:c>
    </x:row>
    <x:row r="25" spans="1:12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2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12" customFormat="1" ht="8.25" customHeight="1" x14ac:dyDescent="0.3">
      <x:c r="H27" s="30" t="s"/>
      <x:c r="I27" s="52" t="s"/>
      <x:c r="J27" s="84" t="s"/>
      <x:c r="K27" s="85" t="s"/>
    </x:row>
    <x:row r="28" spans="1:12" customFormat="1" ht="12" customHeight="1" x14ac:dyDescent="0.3">
      <x:c r="I28" s="52" t="s"/>
      <x:c r="J28" s="84" t="s"/>
    </x:row>
    <x:row r="29" spans="1:12" customFormat="1" ht="15" customHeight="1" x14ac:dyDescent="0.3">
      <x:c r="D29" s="86" t="s">
        <x:v>129</x:v>
      </x:c>
      <x:c r="E29" s="11" t="s"/>
      <x:c r="F29" s="180" t="s"/>
      <x:c r="G29" s="25" t="s"/>
      <x:c r="H29" s="25" t="s"/>
      <x:c r="I29" s="87" t="s"/>
      <x:c r="J29" s="95" t="s"/>
      <x:c r="K29" s="522">
        <x:f>SUM(E15:J15)</x:f>
      </x:c>
    </x:row>
    <x:row r="30" spans="1:12" customFormat="1" ht="7.5" customHeight="1" thickBot="1" x14ac:dyDescent="0.35">
      <x:c r="L30" s="30" t="s"/>
    </x:row>
    <x:row r="31" spans="1:12" customFormat="1" ht="20.25" customHeight="1" thickBot="1" x14ac:dyDescent="0.35">
      <x:c r="G31" s="79" t="s">
        <x:v>136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12" customFormat="1" ht="11.25" customHeight="1" thickBot="1" x14ac:dyDescent="0.35"/>
    <x:row r="33" spans="1:12" customFormat="1" ht="20.25" customHeight="1" thickBot="1" x14ac:dyDescent="0.35">
      <x:c r="I33" s="22" t="s">
        <x:v>137</x:v>
      </x:c>
      <x:c r="J33" s="23" t="s"/>
      <x:c r="K33" s="23" t="s"/>
      <x:c r="L33" s="57">
        <x:f>IFERROR(K31,"")</x:f>
      </x:c>
    </x:row>
    <x:row r="35" spans="1:12" customFormat="1" ht="55.5" customHeight="1" x14ac:dyDescent="0.3">
      <x:c r="E35" s="186" t="s"/>
      <x:c r="F35" s="186" t="s"/>
      <x:c r="G35" s="186" t="s"/>
    </x:row>
    <x:row r="37" spans="1:12" x14ac:dyDescent="0.3">
      <x:c r="A37" s="2" t="s">
        <x:v>90</x:v>
      </x:c>
      <x:c r="B37" s="29" t="s"/>
      <x:c r="C37" s="29" t="s"/>
      <x:c r="D37" s="29" t="s"/>
      <x:c r="E37" s="29" t="s"/>
      <x:c r="H37" s="2" t="s">
        <x:v>116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278" t="s">
        <x:v>138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139</x:v>
      </x:c>
      <x:c r="I17" s="70" t="s"/>
      <x:c r="K17" s="71" t="s">
        <x:v>104</x:v>
      </x:c>
    </x:row>
    <x:row r="18" spans="1:16140" customFormat="1" ht="15" customHeight="1" x14ac:dyDescent="0.3">
      <x:c r="B18" s="72" t="s">
        <x:v>140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141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142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143</x:v>
      </x:c>
      <x:c r="C21" s="54" t="s"/>
      <x:c r="D21" s="55" t="s"/>
      <x:c r="E21" s="520">
        <x:f>LEN(A$13)-LEN(SUBSTITUTE(A$13,"E",""))+LEN(A$13)-LEN(SUBSTITUTE(A$13,"L",""))</x:f>
      </x:c>
      <x:c r="F21" s="107" t="s">
        <x:v>144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145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146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116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147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n">
        <x:v>0</x:v>
      </x:c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139</x:v>
      </x:c>
      <x:c r="I17" s="70" t="s"/>
      <x:c r="K17" s="71" t="s">
        <x:v>104</x:v>
      </x:c>
    </x:row>
    <x:row r="18" spans="1:16140" customFormat="1" ht="15" customHeight="1" x14ac:dyDescent="0.3">
      <x:c r="B18" s="72" t="s">
        <x:v>140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141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142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143</x:v>
      </x:c>
      <x:c r="C21" s="54" t="s"/>
      <x:c r="D21" s="55" t="s"/>
      <x:c r="E21" s="520">
        <x:f>LEN(A$13)-LEN(SUBSTITUTE(A$13,"E",""))+LEN(A$13)-LEN(SUBSTITUTE(A$13,"L",""))</x:f>
      </x:c>
      <x:c r="F21" s="107" t="s">
        <x:v>144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145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146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116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126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148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149</x:v>
      </x:c>
    </x:row>
    <x:row r="13" spans="1:16141" customFormat="1" ht="69" customHeight="1" thickBot="1" x14ac:dyDescent="0.35">
      <x:c r="A13" s="279" t="s">
        <x:v>150</x:v>
      </x:c>
      <x:c r="B13" s="430" t="s">
        <x:v>151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152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153</x:v>
      </x:c>
      <x:c r="B14" s="416" t="s">
        <x:v>154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155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156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157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158</x:v>
      </x:c>
      <x:c r="B16" s="424" t="s">
        <x:v>159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160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161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162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163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116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138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148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149</x:v>
      </x:c>
    </x:row>
    <x:row r="13" spans="1:16141" s="0" customFormat="1" ht="73.5" customHeight="1" thickBot="1" x14ac:dyDescent="0.35">
      <x:c r="A13" s="279" t="s">
        <x:v>150</x:v>
      </x:c>
      <x:c r="B13" s="430" t="s">
        <x:v>164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152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153</x:v>
      </x:c>
      <x:c r="B14" s="416" t="s">
        <x:v>165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166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167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168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158</x:v>
      </x:c>
      <x:c r="B16" s="433" t="s">
        <x:v>169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170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171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172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163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116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147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148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149</x:v>
      </x:c>
    </x:row>
    <x:row r="13" spans="1:16141" customFormat="1" ht="71.25" customHeight="1" thickBot="1" x14ac:dyDescent="0.35">
      <x:c r="A13" s="279" t="s">
        <x:v>150</x:v>
      </x:c>
      <x:c r="B13" s="430" t="s">
        <x:v>173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152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153</x:v>
      </x:c>
      <x:c r="B14" s="416" t="s">
        <x:v>174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175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176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168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158</x:v>
      </x:c>
      <x:c r="B16" s="433" t="s">
        <x:v>177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178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179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180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163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116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181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182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182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104</x:v>
      </x:c>
    </x:row>
    <x:row r="15" spans="1:18" customFormat="1" ht="30" customHeight="1" x14ac:dyDescent="0.3">
      <x:c r="A15" s="438" t="s">
        <x:v>183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8" t="n">
        <x:v>0</x:v>
      </x:c>
    </x:row>
    <x:row r="16" spans="1:18" customFormat="1" ht="30" customHeight="1" x14ac:dyDescent="0.3">
      <x:c r="A16" s="438" t="s">
        <x:v>184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8" t="s"/>
    </x:row>
    <x:row r="17" spans="1:18" customFormat="1" ht="30" customHeight="1" x14ac:dyDescent="0.3">
      <x:c r="A17" s="211" t="s">
        <x:v>185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8" t="s"/>
    </x:row>
    <x:row r="18" spans="1:18" customFormat="1" ht="30" customHeight="1" x14ac:dyDescent="0.3">
      <x:c r="A18" s="211" t="s">
        <x:v>186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8" t="s"/>
    </x:row>
    <x:row r="19" spans="1:18" customFormat="1" ht="30" customHeight="1" x14ac:dyDescent="0.3">
      <x:c r="A19" s="211" t="s">
        <x:v>187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8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188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189</x:v>
      </x:c>
      <x:c r="B23" s="529" t="s"/>
      <x:c r="C23" s="530" t="s"/>
      <x:c r="D23" s="531" t="s">
        <x:v>145</x:v>
      </x:c>
      <x:c r="E23" s="532" t="s"/>
      <x:c r="F23" s="533" t="s"/>
      <x:c r="G23" s="534" t="s">
        <x:v>190</x:v>
      </x:c>
      <x:c r="H23" s="535">
        <x:f>IFERROR(IF(ROUND(C23/F23,3)&gt;10,10,ROUND(C23/F23,3)),10)</x:f>
      </x:c>
      <x:c r="I23" s="536" t="s">
        <x:v>191</x:v>
      </x:c>
      <x:c r="J23" s="534" t="s">
        <x:v>190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192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193</x:v>
      </x:c>
      <x:c r="L27" s="543">
        <x:f>SUM(L15:L25)</x:f>
      </x:c>
    </x:row>
    <x:row r="28" spans="1:18" customFormat="1" ht="18.75" customHeight="1" x14ac:dyDescent="0.3">
      <x:c r="L28" s="544" t="s">
        <x:v>194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195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116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196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182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197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104</x:v>
      </x:c>
    </x:row>
    <x:row r="15" spans="1:18" customFormat="1" ht="30" customHeight="1" x14ac:dyDescent="0.3">
      <x:c r="A15" s="438" t="s">
        <x:v>183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8" t="s"/>
    </x:row>
    <x:row r="16" spans="1:18" customFormat="1" ht="30" customHeight="1" x14ac:dyDescent="0.3">
      <x:c r="A16" s="438" t="s">
        <x:v>184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8" t="s"/>
    </x:row>
    <x:row r="17" spans="1:18" customFormat="1" ht="30" customHeight="1" x14ac:dyDescent="0.3">
      <x:c r="A17" s="211" t="s">
        <x:v>185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8" t="s"/>
    </x:row>
    <x:row r="18" spans="1:18" customFormat="1" ht="30" customHeight="1" x14ac:dyDescent="0.3">
      <x:c r="A18" s="211" t="s">
        <x:v>186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8" t="s"/>
    </x:row>
    <x:row r="19" spans="1:18" customFormat="1" ht="30" customHeight="1" x14ac:dyDescent="0.3">
      <x:c r="A19" s="211" t="s">
        <x:v>187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8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188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189</x:v>
      </x:c>
      <x:c r="B23" s="529" t="s"/>
      <x:c r="C23" s="530" t="s"/>
      <x:c r="D23" s="531" t="s">
        <x:v>145</x:v>
      </x:c>
      <x:c r="E23" s="532" t="s"/>
      <x:c r="F23" s="533" t="s"/>
      <x:c r="G23" s="534" t="s">
        <x:v>190</x:v>
      </x:c>
      <x:c r="H23" s="535">
        <x:f>IFERROR(IF(ROUND(C23/F23,3)&gt;10,10,ROUND(C23/F23,3)),10)</x:f>
      </x:c>
      <x:c r="I23" s="536" t="s">
        <x:v>191</x:v>
      </x:c>
      <x:c r="J23" s="534" t="s">
        <x:v>190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192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193</x:v>
      </x:c>
      <x:c r="L27" s="543">
        <x:f>SUM(L15:L25)</x:f>
      </x:c>
    </x:row>
    <x:row r="28" spans="1:18" customFormat="1" ht="18.75" customHeight="1" x14ac:dyDescent="0.3">
      <x:c r="L28" s="544" t="s">
        <x:v>198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195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116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199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148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200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201</x:v>
      </x:c>
      <x:c r="C13" s="237" t="s">
        <x:v>202</x:v>
      </x:c>
      <x:c r="D13" s="238" t="s">
        <x:v>203</x:v>
      </x:c>
      <x:c r="E13" s="463" t="s"/>
      <x:c r="F13" s="237" t="s">
        <x:v>204</x:v>
      </x:c>
      <x:c r="G13" s="237" t="s">
        <x:v>205</x:v>
      </x:c>
      <x:c r="H13" s="238" t="s">
        <x:v>206</x:v>
      </x:c>
      <x:c r="I13" s="239" t="s">
        <x:v>40</x:v>
      </x:c>
      <x:c r="J13" s="466" t="s">
        <x:v>207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149</x:v>
      </x:c>
    </x:row>
    <x:row r="17" spans="1:16127" customFormat="1" ht="61.9" customHeight="1" thickBot="1" x14ac:dyDescent="0.35">
      <x:c r="A17" s="279" t="s">
        <x:v>150</x:v>
      </x:c>
      <x:c r="B17" s="430" t="s">
        <x:v>208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152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209</x:v>
      </x:c>
      <x:c r="B18" s="458" t="s">
        <x:v>210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211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212</x:v>
      </x:c>
      <x:c r="B19" s="470" t="s">
        <x:v>213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214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215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216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163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116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217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148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200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201</x:v>
      </x:c>
      <x:c r="C13" s="237" t="s">
        <x:v>202</x:v>
      </x:c>
      <x:c r="D13" s="238" t="s">
        <x:v>203</x:v>
      </x:c>
      <x:c r="E13" s="463" t="s"/>
      <x:c r="F13" s="237" t="s">
        <x:v>204</x:v>
      </x:c>
      <x:c r="G13" s="237" t="s"/>
      <x:c r="H13" s="238" t="s"/>
      <x:c r="I13" s="239" t="s">
        <x:v>40</x:v>
      </x:c>
      <x:c r="J13" s="466" t="s">
        <x:v>207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149</x:v>
      </x:c>
    </x:row>
    <x:row r="17" spans="1:16127" customFormat="1" ht="61.9" customHeight="1" thickBot="1" x14ac:dyDescent="0.35">
      <x:c r="A17" s="279" t="s">
        <x:v>150</x:v>
      </x:c>
      <x:c r="B17" s="430" t="s">
        <x:v>218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152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209</x:v>
      </x:c>
      <x:c r="B18" s="474" t="s">
        <x:v>219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211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212</x:v>
      </x:c>
      <x:c r="B19" s="470" t="s">
        <x:v>220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214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221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216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163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116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2026-03-15T11:16:01.5458946Z</dcterms:modified>
</coreProperties>
</file>