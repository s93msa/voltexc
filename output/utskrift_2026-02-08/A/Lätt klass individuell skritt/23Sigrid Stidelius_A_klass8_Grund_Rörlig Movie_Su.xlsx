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4" rupBuild="28324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episerver\voltige\VoltigeClosedXML\mallar\Protokoll\trahast\"/>
    </mc:Choice>
  </mc:AlternateContent>
  <xr:revisionPtr revIDLastSave="0" documentId="13_ncr:1_{422CAD9A-44BE-4161-991E-43D47D96C1C7}" xr6:coauthVersionLast="47" xr6:coauthVersionMax="47" xr10:uidLastSave="{00000000-0000-0000-0000-000000000000}"/>
  <x:bookViews>
    <x:workbookView xWindow="43080" yWindow="-120" windowWidth="38640" windowHeight="21240" tabRatio="844" firstSheet="1" activeTab="1" xr2:uid="{00000000-000D-0000-FFFF-FFFF00000000}"/>
  </x:bookViews>
  <x:sheets>
    <x:sheet name="Information" sheetId="8" state="hidden" r:id="rId1"/>
    <x:sheet name="Grund 0 star" sheetId="22" r:id="rId2"/>
    <x:sheet name="Lätt klass indv kür" sheetId="16" state="hidden" r:id="rId3"/>
    <x:sheet name="1 domare " sheetId="20" state="hidden" r:id="rId4"/>
    <x:sheet name="2 domare" sheetId="21" state="hidden" r:id="rId5"/>
    <x:sheet name="3 domare" sheetId="23" state="hidden" r:id="rId6"/>
  </x:sheets>
  <x:externalReferences>
    <x:externalReference r:id="rId7"/>
  </x:externalReferences>
  <x:definedNames>
    <x:definedName name="armnr" localSheetId="1">'Grund 0 star'!$L$6</x:definedName>
    <x:definedName name="bord" localSheetId="1">'Grund 0 star'!$L$2</x:definedName>
    <x:definedName name="datum" localSheetId="1">'Grund 0 star'!$C$5</x:definedName>
    <x:definedName name="domare" localSheetId="1">'Grund 0 star'!$B$42</x:definedName>
    <x:definedName name="firstvaulter" localSheetId="1">'Grund 0 star'!#REF!</x:definedName>
    <x:definedName name="Hästpoäng" localSheetId="1">'Grund 0 star'!$N$37</x:definedName>
    <x:definedName name="id" localSheetId="1">'Grund 0 star'!$N$11</x:definedName>
    <x:definedName name="klass" localSheetId="1">'Grund 0 star'!$L$3</x:definedName>
    <x:definedName name="moment" localSheetId="1">'Grund 0 star'!$A$2</x:definedName>
    <x:definedName name="result" localSheetId="1">'Grund 0 star'!$H$33</x:definedName>
    <x:definedName name="armnr" localSheetId="2">'Lätt klass indv kür'!$J$6</x:definedName>
    <x:definedName name="bord" localSheetId="2">'Lätt klass indv kür'!$J$2</x:definedName>
    <x:definedName name="datum" localSheetId="2">'Lätt klass indv kür'!$C$5</x:definedName>
    <x:definedName name="domare" localSheetId="2">'Lätt klass indv kür'!$B$41</x:definedName>
    <x:definedName name="firstvaulter" localSheetId="2">'Lätt klass indv kür'!#REF!</x:definedName>
    <x:definedName name="Hästpoäng" localSheetId="2">'Lätt klass indv kür'!#REF!</x:definedName>
    <x:definedName name="id" localSheetId="2">'Lätt klass indv kür'!$K$10</x:definedName>
    <x:definedName name="klass" localSheetId="2">'Lätt klass indv kür'!$J$3</x:definedName>
    <x:definedName name="moment" localSheetId="2">'Lätt klass indv kür'!$A$15</x:definedName>
    <x:definedName name="result" localSheetId="2">'Lätt klass indv kür'!$K$27</x:definedName>
    <x:definedName name="Antal_tävlingsdagar">[1]Information!$H$5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L21" i="22"/>
  <x:c r="L22" i="22"/>
  <x:c r="H33" i="22"/>
  <x:c r="G17" i="16"/>
  <x:c r="G18" i="16"/>
  <x:c r="K27" i="16"/>
  <x:c r="A11" i="20"/>
  <x:c r="G11" i="20"/>
  <x:c r="L11" i="20"/>
  <x:c r="M11" i="20"/>
  <x:c r="N11" i="20"/>
  <x:c r="O11" i="20"/>
  <x:c r="A12" i="20"/>
  <x:c r="G12" i="20"/>
  <x:c r="L12" i="20"/>
  <x:c r="M12" i="20"/>
  <x:c r="N12" i="20"/>
  <x:c r="O12" i="20"/>
  <x:c r="A13" i="20"/>
  <x:c r="G13" i="20"/>
  <x:c r="L13" i="20"/>
  <x:c r="M13" i="20"/>
  <x:c r="N13" i="20"/>
  <x:c r="O13" i="20"/>
  <x:c r="A14" i="20"/>
  <x:c r="G14" i="20"/>
  <x:c r="M14" i="20"/>
  <x:c r="N14" i="20"/>
  <x:c r="O14" i="20"/>
  <x:c r="A15" i="20"/>
  <x:c r="G15" i="20"/>
  <x:c r="L15" i="20"/>
  <x:c r="M15" i="20"/>
  <x:c r="N15" i="20"/>
  <x:c r="O15" i="20"/>
  <x:c r="A16" i="20"/>
  <x:c r="G16" i="20"/>
  <x:c r="L16" i="20"/>
  <x:c r="M16" i="20"/>
  <x:c r="N16" i="20"/>
  <x:c r="O16" i="20"/>
  <x:c r="A17" i="20"/>
  <x:c r="G17" i="20"/>
  <x:c r="L17" i="20"/>
  <x:c r="M17" i="20"/>
  <x:c r="N17" i="20"/>
  <x:c r="O17" i="20"/>
  <x:c r="A18" i="20"/>
  <x:c r="G18" i="20"/>
  <x:c r="M18" i="20"/>
  <x:c r="N18" i="20"/>
  <x:c r="O18" i="20"/>
  <x:c r="A19" i="20"/>
  <x:c r="G19" i="20"/>
  <x:c r="L19" i="20"/>
  <x:c r="M19" i="20"/>
  <x:c r="N19" i="20"/>
  <x:c r="O19" i="20"/>
  <x:c r="A20" i="20"/>
  <x:c r="G20" i="20"/>
  <x:c r="L20" i="20"/>
  <x:c r="M20" i="20"/>
  <x:c r="N20" i="20"/>
  <x:c r="O20" i="20"/>
  <x:c r="A21" i="20"/>
  <x:c r="G21" i="20"/>
  <x:c r="L21" i="20"/>
  <x:c r="M21" i="20"/>
  <x:c r="N21" i="20"/>
  <x:c r="O21" i="20"/>
  <x:c r="A22" i="20"/>
  <x:c r="G22" i="20"/>
  <x:c r="M22" i="20"/>
  <x:c r="N22" i="20"/>
  <x:c r="O22" i="20"/>
  <x:c r="A23" i="20"/>
  <x:c r="G23" i="20"/>
  <x:c r="L23" i="20"/>
  <x:c r="M23" i="20"/>
  <x:c r="N23" i="20"/>
  <x:c r="O23" i="20"/>
  <x:c r="A24" i="20"/>
  <x:c r="G24" i="20"/>
  <x:c r="L24" i="20"/>
  <x:c r="M24" i="20"/>
  <x:c r="N24" i="20"/>
  <x:c r="O24" i="20"/>
  <x:c r="A25" i="20"/>
  <x:c r="G25" i="20"/>
  <x:c r="L25" i="20"/>
  <x:c r="M25" i="20"/>
  <x:c r="N25" i="20"/>
  <x:c r="O25" i="20"/>
  <x:c r="A26" i="20"/>
  <x:c r="G26" i="20"/>
  <x:c r="M26" i="20"/>
  <x:c r="N26" i="20"/>
  <x:c r="O26" i="20"/>
  <x:c r="A27" i="20"/>
  <x:c r="G27" i="20"/>
  <x:c r="L27" i="20"/>
  <x:c r="M27" i="20"/>
  <x:c r="N27" i="20"/>
  <x:c r="O27" i="20"/>
  <x:c r="A28" i="20"/>
  <x:c r="G28" i="20"/>
  <x:c r="L28" i="20"/>
  <x:c r="M28" i="20"/>
  <x:c r="N28" i="20"/>
  <x:c r="O28" i="20"/>
  <x:c r="A29" i="20"/>
  <x:c r="G29" i="20"/>
  <x:c r="L29" i="20"/>
  <x:c r="M29" i="20"/>
  <x:c r="N29" i="20"/>
  <x:c r="O29" i="20"/>
  <x:c r="A30" i="20"/>
  <x:c r="G30" i="20"/>
  <x:c r="M30" i="20"/>
  <x:c r="N30" i="20"/>
  <x:c r="O30" i="20"/>
  <x:c r="A31" i="20"/>
  <x:c r="G31" i="20"/>
  <x:c r="L31" i="20"/>
  <x:c r="M31" i="20"/>
  <x:c r="N31" i="20"/>
  <x:c r="O31" i="20"/>
  <x:c r="A32" i="20"/>
  <x:c r="G32" i="20"/>
  <x:c r="L32" i="20"/>
  <x:c r="M32" i="20"/>
  <x:c r="N32" i="20"/>
  <x:c r="O32" i="20"/>
  <x:c r="A33" i="20"/>
  <x:c r="G33" i="20"/>
  <x:c r="L33" i="20"/>
  <x:c r="M33" i="20"/>
  <x:c r="N33" i="20"/>
  <x:c r="O33" i="20"/>
  <x:c r="A34" i="20"/>
  <x:c r="G34" i="20"/>
  <x:c r="M34" i="20"/>
  <x:c r="N34" i="20"/>
  <x:c r="O34" i="20"/>
  <x:c r="A35" i="20"/>
  <x:c r="G35" i="20"/>
  <x:c r="L35" i="20"/>
  <x:c r="M35" i="20"/>
  <x:c r="N35" i="20"/>
  <x:c r="O35" i="20"/>
  <x:c r="A36" i="20"/>
  <x:c r="G36" i="20"/>
  <x:c r="L36" i="20"/>
  <x:c r="M36" i="20"/>
  <x:c r="N36" i="20"/>
  <x:c r="O36" i="20"/>
  <x:c r="A37" i="20"/>
  <x:c r="G37" i="20"/>
  <x:c r="L37" i="20"/>
  <x:c r="M37" i="20"/>
  <x:c r="N37" i="20"/>
  <x:c r="O37" i="20"/>
  <x:c r="A38" i="20"/>
  <x:c r="G38" i="20"/>
  <x:c r="M38" i="20"/>
  <x:c r="N38" i="20"/>
  <x:c r="O38" i="20"/>
  <x:c r="A39" i="20"/>
  <x:c r="G39" i="20"/>
  <x:c r="L39" i="20"/>
  <x:c r="M39" i="20"/>
  <x:c r="N39" i="20"/>
  <x:c r="O39" i="20"/>
  <x:c r="A40" i="20"/>
  <x:c r="G40" i="20"/>
  <x:c r="L40" i="20"/>
  <x:c r="M40" i="20"/>
  <x:c r="N40" i="20"/>
  <x:c r="O40" i="20"/>
  <x:c r="A41" i="20"/>
  <x:c r="G41" i="20"/>
  <x:c r="L41" i="20"/>
  <x:c r="M41" i="20"/>
  <x:c r="N41" i="20"/>
  <x:c r="O41" i="20"/>
  <x:c r="A42" i="20"/>
  <x:c r="G42" i="20"/>
  <x:c r="M42" i="20"/>
  <x:c r="N42" i="20"/>
  <x:c r="O42" i="20"/>
  <x:c r="A43" i="20"/>
  <x:c r="G43" i="20"/>
  <x:c r="L43" i="20"/>
  <x:c r="M43" i="20"/>
  <x:c r="N43" i="20"/>
  <x:c r="O43" i="20"/>
  <x:c r="A44" i="20"/>
  <x:c r="G44" i="20"/>
  <x:c r="L44" i="20"/>
  <x:c r="M44" i="20"/>
  <x:c r="N44" i="20"/>
  <x:c r="O44" i="20"/>
  <x:c r="A45" i="20"/>
  <x:c r="G45" i="20"/>
  <x:c r="L45" i="20"/>
  <x:c r="M45" i="20"/>
  <x:c r="N45" i="20"/>
  <x:c r="O45" i="20"/>
  <x:c r="A46" i="20"/>
  <x:c r="G46" i="20"/>
  <x:c r="M46" i="20"/>
  <x:c r="N46" i="20"/>
  <x:c r="O46" i="20"/>
  <x:c r="A47" i="20"/>
  <x:c r="G47" i="20"/>
  <x:c r="L47" i="20"/>
  <x:c r="M47" i="20"/>
  <x:c r="N47" i="20"/>
  <x:c r="O47" i="20"/>
  <x:c r="A48" i="20"/>
  <x:c r="G48" i="20"/>
  <x:c r="L48" i="20"/>
  <x:c r="M48" i="20"/>
  <x:c r="N48" i="20"/>
  <x:c r="O48" i="20"/>
  <x:c r="A49" i="20"/>
  <x:c r="G49" i="20"/>
  <x:c r="L49" i="20"/>
  <x:c r="M49" i="20"/>
  <x:c r="N49" i="20"/>
  <x:c r="O49" i="20"/>
  <x:c r="A50" i="20"/>
  <x:c r="G50" i="20"/>
  <x:c r="M50" i="20"/>
  <x:c r="N50" i="20"/>
  <x:c r="O50" i="20"/>
  <x:c r="A51" i="20"/>
  <x:c r="G51" i="20"/>
  <x:c r="L51" i="20"/>
  <x:c r="M51" i="20"/>
  <x:c r="N51" i="20"/>
  <x:c r="O51" i="20"/>
  <x:c r="A52" i="20"/>
  <x:c r="G52" i="20"/>
  <x:c r="L52" i="20"/>
  <x:c r="M52" i="20"/>
  <x:c r="N52" i="20"/>
  <x:c r="O52" i="20"/>
  <x:c r="A53" i="20"/>
  <x:c r="G53" i="20"/>
  <x:c r="L53" i="20"/>
  <x:c r="M53" i="20"/>
  <x:c r="N53" i="20"/>
  <x:c r="O53" i="20"/>
  <x:c r="A54" i="20"/>
  <x:c r="G54" i="20"/>
  <x:c r="M54" i="20"/>
  <x:c r="N54" i="20"/>
  <x:c r="O54" i="20"/>
  <x:c r="A55" i="20"/>
  <x:c r="G55" i="20"/>
  <x:c r="L55" i="20"/>
  <x:c r="M55" i="20"/>
  <x:c r="N55" i="20"/>
  <x:c r="O55" i="20"/>
  <x:c r="A56" i="20"/>
  <x:c r="G56" i="20"/>
  <x:c r="L56" i="20"/>
  <x:c r="M56" i="20"/>
  <x:c r="N56" i="20"/>
  <x:c r="O56" i="20"/>
  <x:c r="A57" i="20"/>
  <x:c r="G57" i="20"/>
  <x:c r="L57" i="20"/>
  <x:c r="M57" i="20"/>
  <x:c r="N57" i="20"/>
  <x:c r="O57" i="20"/>
  <x:c r="A58" i="20"/>
  <x:c r="G58" i="20"/>
  <x:c r="M58" i="20"/>
  <x:c r="N58" i="20"/>
  <x:c r="O58" i="20"/>
  <x:c r="A59" i="20"/>
  <x:c r="G59" i="20"/>
  <x:c r="L59" i="20"/>
  <x:c r="M59" i="20"/>
  <x:c r="N59" i="20"/>
  <x:c r="O59" i="20"/>
  <x:c r="A60" i="20"/>
  <x:c r="G60" i="20"/>
  <x:c r="L60" i="20"/>
  <x:c r="M60" i="20"/>
  <x:c r="N60" i="20"/>
  <x:c r="O60" i="20"/>
  <x:c r="A61" i="20"/>
  <x:c r="G61" i="20"/>
  <x:c r="L61" i="20"/>
  <x:c r="M61" i="20"/>
  <x:c r="N61" i="20"/>
  <x:c r="O61" i="20"/>
  <x:c r="A62" i="20"/>
  <x:c r="G62" i="20"/>
  <x:c r="M62" i="20"/>
  <x:c r="N62" i="20"/>
  <x:c r="O62" i="20"/>
  <x:c r="A63" i="20"/>
  <x:c r="G63" i="20"/>
  <x:c r="L63" i="20"/>
  <x:c r="M63" i="20"/>
  <x:c r="N63" i="20"/>
  <x:c r="O63" i="20"/>
  <x:c r="A64" i="20"/>
  <x:c r="G64" i="20"/>
  <x:c r="L64" i="20"/>
  <x:c r="M64" i="20"/>
  <x:c r="N64" i="20"/>
  <x:c r="O64" i="20"/>
  <x:c r="A65" i="20"/>
  <x:c r="G65" i="20"/>
  <x:c r="L65" i="20"/>
  <x:c r="M65" i="20"/>
  <x:c r="N65" i="20"/>
  <x:c r="O65" i="20"/>
  <x:c r="A66" i="20"/>
  <x:c r="G66" i="20"/>
  <x:c r="M66" i="20"/>
  <x:c r="N66" i="20"/>
  <x:c r="O66" i="20"/>
  <x:c r="A67" i="20"/>
  <x:c r="G67" i="20"/>
  <x:c r="L67" i="20"/>
  <x:c r="M67" i="20"/>
  <x:c r="N67" i="20"/>
  <x:c r="O67" i="20"/>
  <x:c r="A68" i="20"/>
  <x:c r="G68" i="20"/>
  <x:c r="L68" i="20"/>
  <x:c r="M68" i="20"/>
  <x:c r="N68" i="20"/>
  <x:c r="O68" i="20"/>
  <x:c r="A69" i="20"/>
  <x:c r="G69" i="20"/>
  <x:c r="L69" i="20"/>
  <x:c r="M69" i="20"/>
  <x:c r="N69" i="20"/>
  <x:c r="O69" i="20"/>
  <x:c r="A70" i="20"/>
  <x:c r="G70" i="20"/>
  <x:c r="M70" i="20"/>
  <x:c r="N70" i="20"/>
  <x:c r="O70" i="20"/>
  <x:c r="A71" i="20"/>
  <x:c r="G71" i="20"/>
  <x:c r="L71" i="20"/>
  <x:c r="M71" i="20"/>
  <x:c r="N71" i="20"/>
  <x:c r="O71" i="20"/>
  <x:c r="A72" i="20"/>
  <x:c r="G72" i="20"/>
  <x:c r="L72" i="20"/>
  <x:c r="M72" i="20"/>
  <x:c r="N72" i="20"/>
  <x:c r="O72" i="20"/>
  <x:c r="A73" i="20"/>
  <x:c r="G73" i="20"/>
  <x:c r="L73" i="20"/>
  <x:c r="M73" i="20"/>
  <x:c r="N73" i="20"/>
  <x:c r="O73" i="20"/>
  <x:c r="A74" i="20"/>
  <x:c r="G74" i="20"/>
  <x:c r="M74" i="20"/>
  <x:c r="N74" i="20"/>
  <x:c r="O74" i="20"/>
  <x:c r="A11" i="21"/>
  <x:c r="G11" i="21"/>
  <x:c r="L11" i="21"/>
  <x:c r="M11" i="21"/>
  <x:c r="N11" i="21"/>
  <x:c r="O11" i="21"/>
  <x:c r="A12" i="21"/>
  <x:c r="G12" i="21"/>
  <x:c r="L12" i="21"/>
  <x:c r="M12" i="21"/>
  <x:c r="N12" i="21"/>
  <x:c r="O12" i="21"/>
  <x:c r="A13" i="21"/>
  <x:c r="G13" i="21"/>
  <x:c r="M13" i="21"/>
  <x:c r="N13" i="21"/>
  <x:c r="O13" i="21"/>
  <x:c r="A14" i="21"/>
  <x:c r="G14" i="21"/>
  <x:c r="M14" i="21"/>
  <x:c r="N14" i="21"/>
  <x:c r="O14" i="21"/>
  <x:c r="A15" i="21"/>
  <x:c r="G15" i="21"/>
  <x:c r="L15" i="21"/>
  <x:c r="M15" i="21"/>
  <x:c r="N15" i="21"/>
  <x:c r="O15" i="21"/>
  <x:c r="A16" i="21"/>
  <x:c r="G16" i="21"/>
  <x:c r="L16" i="21"/>
  <x:c r="M16" i="21"/>
  <x:c r="N16" i="21"/>
  <x:c r="O16" i="21"/>
  <x:c r="A17" i="21"/>
  <x:c r="G17" i="21"/>
  <x:c r="M17" i="21"/>
  <x:c r="N17" i="21"/>
  <x:c r="O17" i="21"/>
  <x:c r="A18" i="21"/>
  <x:c r="G18" i="21"/>
  <x:c r="M18" i="21"/>
  <x:c r="N18" i="21"/>
  <x:c r="O18" i="21"/>
  <x:c r="A19" i="21"/>
  <x:c r="G19" i="21"/>
  <x:c r="L19" i="21"/>
  <x:c r="M19" i="21"/>
  <x:c r="N19" i="21"/>
  <x:c r="O19" i="21"/>
  <x:c r="A20" i="21"/>
  <x:c r="G20" i="21"/>
  <x:c r="L20" i="21"/>
  <x:c r="M20" i="21"/>
  <x:c r="N20" i="21"/>
  <x:c r="O20" i="21"/>
  <x:c r="A21" i="21"/>
  <x:c r="G21" i="21"/>
  <x:c r="M21" i="21"/>
  <x:c r="N21" i="21"/>
  <x:c r="O21" i="21"/>
  <x:c r="A22" i="21"/>
  <x:c r="G22" i="21"/>
  <x:c r="M22" i="21"/>
  <x:c r="N22" i="21"/>
  <x:c r="O22" i="21"/>
  <x:c r="A23" i="21"/>
  <x:c r="G23" i="21"/>
  <x:c r="L23" i="21"/>
  <x:c r="M23" i="21"/>
  <x:c r="N23" i="21"/>
  <x:c r="O23" i="21"/>
  <x:c r="A24" i="21"/>
  <x:c r="G24" i="21"/>
  <x:c r="L24" i="21"/>
  <x:c r="M24" i="21"/>
  <x:c r="N24" i="21"/>
  <x:c r="O24" i="21"/>
  <x:c r="A25" i="21"/>
  <x:c r="G25" i="21"/>
  <x:c r="M25" i="21"/>
  <x:c r="N25" i="21"/>
  <x:c r="O25" i="21"/>
  <x:c r="A26" i="21"/>
  <x:c r="G26" i="21"/>
  <x:c r="M26" i="21"/>
  <x:c r="N26" i="21"/>
  <x:c r="O26" i="21"/>
  <x:c r="A27" i="21"/>
  <x:c r="G27" i="21"/>
  <x:c r="L27" i="21"/>
  <x:c r="M27" i="21"/>
  <x:c r="N27" i="21"/>
  <x:c r="O27" i="21"/>
  <x:c r="A28" i="21"/>
  <x:c r="G28" i="21"/>
  <x:c r="L28" i="21"/>
  <x:c r="M28" i="21"/>
  <x:c r="N28" i="21"/>
  <x:c r="O28" i="21"/>
  <x:c r="A29" i="21"/>
  <x:c r="G29" i="21"/>
  <x:c r="M29" i="21"/>
  <x:c r="N29" i="21"/>
  <x:c r="O29" i="21"/>
  <x:c r="A30" i="21"/>
  <x:c r="G30" i="21"/>
  <x:c r="M30" i="21"/>
  <x:c r="N30" i="21"/>
  <x:c r="O30" i="21"/>
  <x:c r="A31" i="21"/>
  <x:c r="G31" i="21"/>
  <x:c r="L31" i="21"/>
  <x:c r="M31" i="21"/>
  <x:c r="N31" i="21"/>
  <x:c r="O31" i="21"/>
  <x:c r="A32" i="21"/>
  <x:c r="G32" i="21"/>
  <x:c r="L32" i="21"/>
  <x:c r="M32" i="21"/>
  <x:c r="N32" i="21"/>
  <x:c r="O32" i="21"/>
  <x:c r="A33" i="21"/>
  <x:c r="G33" i="21"/>
  <x:c r="M33" i="21"/>
  <x:c r="N33" i="21"/>
  <x:c r="O33" i="21"/>
  <x:c r="A34" i="21"/>
  <x:c r="G34" i="21"/>
  <x:c r="M34" i="21"/>
  <x:c r="N34" i="21"/>
  <x:c r="O34" i="21"/>
  <x:c r="A35" i="21"/>
  <x:c r="G35" i="21"/>
  <x:c r="L35" i="21"/>
  <x:c r="M35" i="21"/>
  <x:c r="N35" i="21"/>
  <x:c r="O35" i="21"/>
  <x:c r="A36" i="21"/>
  <x:c r="G36" i="21"/>
  <x:c r="L36" i="21"/>
  <x:c r="M36" i="21"/>
  <x:c r="N36" i="21"/>
  <x:c r="O36" i="21"/>
  <x:c r="A37" i="21"/>
  <x:c r="G37" i="21"/>
  <x:c r="M37" i="21"/>
  <x:c r="N37" i="21"/>
  <x:c r="O37" i="21"/>
  <x:c r="A38" i="21"/>
  <x:c r="G38" i="21"/>
  <x:c r="M38" i="21"/>
  <x:c r="N38" i="21"/>
  <x:c r="O38" i="21"/>
  <x:c r="A39" i="21"/>
  <x:c r="G39" i="21"/>
  <x:c r="L39" i="21"/>
  <x:c r="M39" i="21"/>
  <x:c r="N39" i="21"/>
  <x:c r="O39" i="21"/>
  <x:c r="A40" i="21"/>
  <x:c r="G40" i="21"/>
  <x:c r="L40" i="21"/>
  <x:c r="M40" i="21"/>
  <x:c r="N40" i="21"/>
  <x:c r="O40" i="21"/>
  <x:c r="A41" i="21"/>
  <x:c r="G41" i="21"/>
  <x:c r="M41" i="21"/>
  <x:c r="N41" i="21"/>
  <x:c r="O41" i="21"/>
  <x:c r="A42" i="21"/>
  <x:c r="G42" i="21"/>
  <x:c r="M42" i="21"/>
  <x:c r="N42" i="21"/>
  <x:c r="O42" i="21"/>
  <x:c r="A43" i="21"/>
  <x:c r="G43" i="21"/>
  <x:c r="L43" i="21"/>
  <x:c r="M43" i="21"/>
  <x:c r="N43" i="21"/>
  <x:c r="O43" i="21"/>
  <x:c r="A44" i="21"/>
  <x:c r="G44" i="21"/>
  <x:c r="L44" i="21"/>
  <x:c r="M44" i="21"/>
  <x:c r="N44" i="21"/>
  <x:c r="O44" i="21"/>
  <x:c r="A45" i="21"/>
  <x:c r="G45" i="21"/>
  <x:c r="M45" i="21"/>
  <x:c r="N45" i="21"/>
  <x:c r="O45" i="21"/>
  <x:c r="A46" i="21"/>
  <x:c r="G46" i="21"/>
  <x:c r="M46" i="21"/>
  <x:c r="N46" i="21"/>
  <x:c r="O46" i="21"/>
  <x:c r="A47" i="21"/>
  <x:c r="G47" i="21"/>
  <x:c r="L47" i="21"/>
  <x:c r="M47" i="21"/>
  <x:c r="N47" i="21"/>
  <x:c r="O47" i="21"/>
  <x:c r="A48" i="21"/>
  <x:c r="G48" i="21"/>
  <x:c r="L48" i="21"/>
  <x:c r="M48" i="21"/>
  <x:c r="N48" i="21"/>
  <x:c r="O48" i="21"/>
  <x:c r="A49" i="21"/>
  <x:c r="G49" i="21"/>
  <x:c r="M49" i="21"/>
  <x:c r="N49" i="21"/>
  <x:c r="O49" i="21"/>
  <x:c r="A50" i="21"/>
  <x:c r="G50" i="21"/>
  <x:c r="M50" i="21"/>
  <x:c r="N50" i="21"/>
  <x:c r="O50" i="21"/>
  <x:c r="A51" i="21"/>
  <x:c r="G51" i="21"/>
  <x:c r="L51" i="21"/>
  <x:c r="M51" i="21"/>
  <x:c r="N51" i="21"/>
  <x:c r="O51" i="21"/>
  <x:c r="A52" i="21"/>
  <x:c r="G52" i="21"/>
  <x:c r="L52" i="21"/>
  <x:c r="M52" i="21"/>
  <x:c r="N52" i="21"/>
  <x:c r="O52" i="21"/>
  <x:c r="A53" i="21"/>
  <x:c r="G53" i="21"/>
  <x:c r="M53" i="21"/>
  <x:c r="N53" i="21"/>
  <x:c r="O53" i="21"/>
  <x:c r="A54" i="21"/>
  <x:c r="G54" i="21"/>
  <x:c r="M54" i="21"/>
  <x:c r="N54" i="21"/>
  <x:c r="O54" i="21"/>
  <x:c r="A55" i="21"/>
  <x:c r="G55" i="21"/>
  <x:c r="L55" i="21"/>
  <x:c r="M55" i="21"/>
  <x:c r="N55" i="21"/>
  <x:c r="O55" i="21"/>
  <x:c r="A56" i="21"/>
  <x:c r="G56" i="21"/>
  <x:c r="L56" i="21"/>
  <x:c r="M56" i="21"/>
  <x:c r="N56" i="21"/>
  <x:c r="O56" i="21"/>
  <x:c r="A57" i="21"/>
  <x:c r="G57" i="21"/>
  <x:c r="M57" i="21"/>
  <x:c r="N57" i="21"/>
  <x:c r="O57" i="21"/>
  <x:c r="A58" i="21"/>
  <x:c r="G58" i="21"/>
  <x:c r="M58" i="21"/>
  <x:c r="N58" i="21"/>
  <x:c r="O58" i="21"/>
  <x:c r="A59" i="21"/>
  <x:c r="G59" i="21"/>
  <x:c r="L59" i="21"/>
  <x:c r="M59" i="21"/>
  <x:c r="N59" i="21"/>
  <x:c r="O59" i="21"/>
  <x:c r="A60" i="21"/>
  <x:c r="G60" i="21"/>
  <x:c r="L60" i="21"/>
  <x:c r="M60" i="21"/>
  <x:c r="N60" i="21"/>
  <x:c r="O60" i="21"/>
  <x:c r="A61" i="21"/>
  <x:c r="G61" i="21"/>
  <x:c r="M61" i="21"/>
  <x:c r="N61" i="21"/>
  <x:c r="O61" i="21"/>
  <x:c r="A62" i="21"/>
  <x:c r="G62" i="21"/>
  <x:c r="M62" i="21"/>
  <x:c r="N62" i="21"/>
  <x:c r="O62" i="21"/>
  <x:c r="A63" i="21"/>
  <x:c r="G63" i="21"/>
  <x:c r="L63" i="21"/>
  <x:c r="M63" i="21"/>
  <x:c r="N63" i="21"/>
  <x:c r="O63" i="21"/>
  <x:c r="A64" i="21"/>
  <x:c r="G64" i="21"/>
  <x:c r="L64" i="21"/>
  <x:c r="M64" i="21"/>
  <x:c r="N64" i="21"/>
  <x:c r="O64" i="21"/>
  <x:c r="A65" i="21"/>
  <x:c r="G65" i="21"/>
  <x:c r="M65" i="21"/>
  <x:c r="N65" i="21"/>
  <x:c r="O65" i="21"/>
  <x:c r="A66" i="21"/>
  <x:c r="G66" i="21"/>
  <x:c r="M66" i="21"/>
  <x:c r="N66" i="21"/>
  <x:c r="O66" i="21"/>
  <x:c r="A67" i="21"/>
  <x:c r="G67" i="21"/>
  <x:c r="L67" i="21"/>
  <x:c r="M67" i="21"/>
  <x:c r="N67" i="21"/>
  <x:c r="O67" i="21"/>
  <x:c r="A68" i="21"/>
  <x:c r="G68" i="21"/>
  <x:c r="L68" i="21"/>
  <x:c r="M68" i="21"/>
  <x:c r="N68" i="21"/>
  <x:c r="O68" i="21"/>
  <x:c r="A69" i="21"/>
  <x:c r="G69" i="21"/>
  <x:c r="M69" i="21"/>
  <x:c r="N69" i="21"/>
  <x:c r="O69" i="21"/>
  <x:c r="A70" i="21"/>
  <x:c r="G70" i="21"/>
  <x:c r="M70" i="21"/>
  <x:c r="N70" i="21"/>
  <x:c r="O70" i="21"/>
  <x:c r="A71" i="21"/>
  <x:c r="G71" i="21"/>
  <x:c r="L71" i="21"/>
  <x:c r="M71" i="21"/>
  <x:c r="N71" i="21"/>
  <x:c r="O71" i="21"/>
  <x:c r="A72" i="21"/>
  <x:c r="G72" i="21"/>
  <x:c r="L72" i="21"/>
  <x:c r="M72" i="21"/>
  <x:c r="N72" i="21"/>
  <x:c r="O72" i="21"/>
  <x:c r="A73" i="21"/>
  <x:c r="G73" i="21"/>
  <x:c r="M73" i="21"/>
  <x:c r="N73" i="21"/>
  <x:c r="O73" i="21"/>
  <x:c r="A74" i="21"/>
  <x:c r="G74" i="21"/>
  <x:c r="M74" i="21"/>
  <x:c r="N74" i="21"/>
  <x:c r="O74" i="21"/>
  <x:c r="A11" i="23"/>
  <x:c r="G11" i="23"/>
  <x:c r="K11" i="23"/>
  <x:c r="L11" i="23"/>
  <x:c r="M11" i="23"/>
  <x:c r="N11" i="23"/>
  <x:c r="A12" i="23"/>
  <x:c r="G12" i="23"/>
  <x:c r="K12" i="23"/>
  <x:c r="L12" i="23"/>
  <x:c r="M12" i="23"/>
  <x:c r="N12" i="23"/>
  <x:c r="A13" i="23"/>
  <x:c r="G13" i="23"/>
  <x:c r="L13" i="23"/>
  <x:c r="M13" i="23"/>
  <x:c r="N13" i="23"/>
  <x:c r="A14" i="23"/>
  <x:c r="G14" i="23"/>
  <x:c r="L14" i="23"/>
  <x:c r="M14" i="23"/>
  <x:c r="N14" i="23"/>
  <x:c r="A15" i="23"/>
  <x:c r="G15" i="23"/>
  <x:c r="K15" i="23"/>
  <x:c r="L15" i="23"/>
  <x:c r="M15" i="23"/>
  <x:c r="N15" i="23"/>
  <x:c r="A16" i="23"/>
  <x:c r="G16" i="23"/>
  <x:c r="K16" i="23"/>
  <x:c r="L16" i="23"/>
  <x:c r="M16" i="23"/>
  <x:c r="N16" i="23"/>
  <x:c r="A17" i="23"/>
  <x:c r="G17" i="23"/>
  <x:c r="K17" i="23"/>
  <x:c r="L17" i="23"/>
  <x:c r="M17" i="23"/>
  <x:c r="N17" i="23"/>
  <x:c r="A18" i="23"/>
  <x:c r="G18" i="23"/>
  <x:c r="K18" i="23"/>
  <x:c r="L18" i="23"/>
  <x:c r="M18" i="23"/>
  <x:c r="N18" i="23"/>
  <x:c r="A19" i="23"/>
  <x:c r="G19" i="23"/>
  <x:c r="K19" i="23"/>
  <x:c r="L19" i="23"/>
  <x:c r="M19" i="23"/>
  <x:c r="N19" i="23"/>
  <x:c r="A20" i="23"/>
  <x:c r="G20" i="23"/>
  <x:c r="K20" i="23"/>
  <x:c r="L20" i="23"/>
  <x:c r="M20" i="23"/>
  <x:c r="N20" i="23"/>
  <x:c r="A21" i="23"/>
  <x:c r="G21" i="23"/>
  <x:c r="K21" i="23"/>
  <x:c r="L21" i="23"/>
  <x:c r="M21" i="23"/>
  <x:c r="N21" i="23"/>
  <x:c r="A22" i="23"/>
  <x:c r="G22" i="23"/>
  <x:c r="K22" i="23"/>
  <x:c r="L22" i="23"/>
  <x:c r="M22" i="23"/>
  <x:c r="N22" i="23"/>
  <x:c r="A23" i="23"/>
  <x:c r="G23" i="23"/>
  <x:c r="K23" i="23"/>
  <x:c r="L23" i="23"/>
  <x:c r="M23" i="23"/>
  <x:c r="N23" i="23"/>
  <x:c r="A24" i="23"/>
  <x:c r="G24" i="23"/>
  <x:c r="K24" i="23"/>
  <x:c r="L24" i="23"/>
  <x:c r="M24" i="23"/>
  <x:c r="N24" i="23"/>
  <x:c r="A25" i="23"/>
  <x:c r="G25" i="23"/>
  <x:c r="K25" i="23"/>
  <x:c r="L25" i="23"/>
  <x:c r="M25" i="23"/>
  <x:c r="N25" i="23"/>
  <x:c r="A26" i="23"/>
  <x:c r="G26" i="23"/>
  <x:c r="K26" i="23"/>
  <x:c r="L26" i="23"/>
  <x:c r="M26" i="23"/>
  <x:c r="N26" i="23"/>
  <x:c r="A27" i="23"/>
  <x:c r="G27" i="23"/>
  <x:c r="K27" i="23"/>
  <x:c r="L27" i="23"/>
  <x:c r="M27" i="23"/>
  <x:c r="N27" i="23"/>
  <x:c r="A28" i="23"/>
  <x:c r="G28" i="23"/>
  <x:c r="K28" i="23"/>
  <x:c r="L28" i="23"/>
  <x:c r="M28" i="23"/>
  <x:c r="N28" i="23"/>
  <x:c r="A29" i="23"/>
  <x:c r="G29" i="23"/>
  <x:c r="K29" i="23"/>
  <x:c r="L29" i="23"/>
  <x:c r="M29" i="23"/>
  <x:c r="N29" i="23"/>
  <x:c r="A30" i="23"/>
  <x:c r="G30" i="23"/>
  <x:c r="K30" i="23"/>
  <x:c r="L30" i="23"/>
  <x:c r="M30" i="23"/>
  <x:c r="N30" i="23"/>
  <x:c r="A31" i="23"/>
  <x:c r="G31" i="23"/>
  <x:c r="K31" i="23"/>
  <x:c r="L31" i="23"/>
  <x:c r="M31" i="23"/>
  <x:c r="N31" i="23"/>
  <x:c r="A32" i="23"/>
  <x:c r="G32" i="23"/>
  <x:c r="K32" i="23"/>
  <x:c r="L32" i="23"/>
  <x:c r="M32" i="23"/>
  <x:c r="N32" i="23"/>
  <x:c r="A33" i="23"/>
  <x:c r="G33" i="23"/>
  <x:c r="K33" i="23"/>
  <x:c r="L33" i="23"/>
  <x:c r="M33" i="23"/>
  <x:c r="N33" i="23"/>
  <x:c r="A34" i="23"/>
  <x:c r="G34" i="23"/>
  <x:c r="K34" i="23"/>
  <x:c r="L34" i="23"/>
  <x:c r="M34" i="23"/>
  <x:c r="N34" i="23"/>
  <x:c r="A35" i="23"/>
  <x:c r="G35" i="23"/>
  <x:c r="K35" i="23"/>
  <x:c r="L35" i="23"/>
  <x:c r="M35" i="23"/>
  <x:c r="N35" i="23"/>
  <x:c r="A36" i="23"/>
  <x:c r="G36" i="23"/>
  <x:c r="K36" i="23"/>
  <x:c r="L36" i="23"/>
  <x:c r="M36" i="23"/>
  <x:c r="N36" i="23"/>
  <x:c r="A37" i="23"/>
  <x:c r="G37" i="23"/>
  <x:c r="K37" i="23"/>
  <x:c r="L37" i="23"/>
  <x:c r="M37" i="23"/>
  <x:c r="N37" i="23"/>
  <x:c r="A38" i="23"/>
  <x:c r="G38" i="23"/>
  <x:c r="K38" i="23"/>
  <x:c r="L38" i="23"/>
  <x:c r="M38" i="23"/>
  <x:c r="N38" i="23"/>
  <x:c r="A39" i="23"/>
  <x:c r="G39" i="23"/>
  <x:c r="K39" i="23"/>
  <x:c r="L39" i="23"/>
  <x:c r="M39" i="23"/>
  <x:c r="N39" i="23"/>
  <x:c r="A40" i="23"/>
  <x:c r="G40" i="23"/>
  <x:c r="K40" i="23"/>
  <x:c r="L40" i="23"/>
  <x:c r="M40" i="23"/>
  <x:c r="N40" i="23"/>
  <x:c r="A41" i="23"/>
  <x:c r="G41" i="23"/>
  <x:c r="K41" i="23"/>
  <x:c r="L41" i="23"/>
  <x:c r="M41" i="23"/>
  <x:c r="N41" i="23"/>
  <x:c r="A42" i="23"/>
  <x:c r="G42" i="23"/>
  <x:c r="K42" i="23"/>
  <x:c r="L42" i="23"/>
  <x:c r="M42" i="23"/>
  <x:c r="N42" i="23"/>
  <x:c r="A43" i="23"/>
  <x:c r="G43" i="23"/>
  <x:c r="K43" i="23"/>
  <x:c r="L43" i="23"/>
  <x:c r="M43" i="23"/>
  <x:c r="N43" i="23"/>
  <x:c r="A44" i="23"/>
  <x:c r="G44" i="23"/>
  <x:c r="K44" i="23"/>
  <x:c r="L44" i="23"/>
  <x:c r="M44" i="23"/>
  <x:c r="N44" i="23"/>
  <x:c r="A45" i="23"/>
  <x:c r="G45" i="23"/>
  <x:c r="K45" i="23"/>
  <x:c r="L45" i="23"/>
  <x:c r="M45" i="23"/>
  <x:c r="N45" i="23"/>
  <x:c r="A46" i="23"/>
  <x:c r="G46" i="23"/>
  <x:c r="K46" i="23"/>
  <x:c r="L46" i="23"/>
  <x:c r="M46" i="23"/>
  <x:c r="N46" i="23"/>
  <x:c r="A47" i="23"/>
  <x:c r="G47" i="23"/>
  <x:c r="K47" i="23"/>
  <x:c r="L47" i="23"/>
  <x:c r="M47" i="23"/>
  <x:c r="N47" i="23"/>
  <x:c r="A48" i="23"/>
  <x:c r="G48" i="23"/>
  <x:c r="K48" i="23"/>
  <x:c r="L48" i="23"/>
  <x:c r="M48" i="23"/>
  <x:c r="N48" i="23"/>
  <x:c r="A49" i="23"/>
  <x:c r="G49" i="23"/>
  <x:c r="K49" i="23"/>
  <x:c r="L49" i="23"/>
  <x:c r="M49" i="23"/>
  <x:c r="N49" i="23"/>
  <x:c r="A50" i="23"/>
  <x:c r="G50" i="23"/>
  <x:c r="K50" i="23"/>
  <x:c r="L50" i="23"/>
  <x:c r="M50" i="23"/>
  <x:c r="N50" i="23"/>
  <x:c r="A51" i="23"/>
  <x:c r="G51" i="23"/>
  <x:c r="K51" i="23"/>
  <x:c r="L51" i="23"/>
  <x:c r="M51" i="23"/>
  <x:c r="N51" i="23"/>
  <x:c r="A52" i="23"/>
  <x:c r="G52" i="23"/>
  <x:c r="K52" i="23"/>
  <x:c r="L52" i="23"/>
  <x:c r="M52" i="23"/>
  <x:c r="N52" i="23"/>
  <x:c r="A53" i="23"/>
  <x:c r="G53" i="23"/>
  <x:c r="K53" i="23"/>
  <x:c r="L53" i="23"/>
  <x:c r="M53" i="23"/>
  <x:c r="N53" i="23"/>
  <x:c r="A54" i="23"/>
  <x:c r="G54" i="23"/>
  <x:c r="K54" i="23"/>
  <x:c r="L54" i="23"/>
  <x:c r="M54" i="23"/>
  <x:c r="N54" i="23"/>
  <x:c r="A55" i="23"/>
  <x:c r="G55" i="23"/>
  <x:c r="K55" i="23"/>
  <x:c r="L55" i="23"/>
  <x:c r="M55" i="23"/>
  <x:c r="N55" i="23"/>
  <x:c r="A56" i="23"/>
  <x:c r="G56" i="23"/>
  <x:c r="K56" i="23"/>
  <x:c r="L56" i="23"/>
  <x:c r="M56" i="23"/>
  <x:c r="N56" i="23"/>
  <x:c r="A57" i="23"/>
  <x:c r="G57" i="23"/>
  <x:c r="K57" i="23"/>
  <x:c r="L57" i="23"/>
  <x:c r="M57" i="23"/>
  <x:c r="N57" i="23"/>
  <x:c r="A58" i="23"/>
  <x:c r="G58" i="23"/>
  <x:c r="K58" i="23"/>
  <x:c r="L58" i="23"/>
  <x:c r="M58" i="23"/>
  <x:c r="N58" i="23"/>
  <x:c r="A59" i="23"/>
  <x:c r="G59" i="23"/>
  <x:c r="K59" i="23"/>
  <x:c r="L59" i="23"/>
  <x:c r="M59" i="23"/>
  <x:c r="N59" i="23"/>
  <x:c r="A60" i="23"/>
  <x:c r="G60" i="23"/>
  <x:c r="K60" i="23"/>
  <x:c r="L60" i="23"/>
  <x:c r="M60" i="23"/>
  <x:c r="N60" i="23"/>
  <x:c r="A61" i="23"/>
  <x:c r="G61" i="23"/>
  <x:c r="K61" i="23"/>
  <x:c r="L61" i="23"/>
  <x:c r="M61" i="23"/>
  <x:c r="N61" i="23"/>
  <x:c r="A62" i="23"/>
  <x:c r="G62" i="23"/>
  <x:c r="K62" i="23"/>
  <x:c r="L62" i="23"/>
  <x:c r="M62" i="23"/>
  <x:c r="N62" i="23"/>
  <x:c r="A63" i="23"/>
  <x:c r="G63" i="23"/>
  <x:c r="K63" i="23"/>
  <x:c r="L63" i="23"/>
  <x:c r="M63" i="23"/>
  <x:c r="N63" i="23"/>
  <x:c r="A64" i="23"/>
  <x:c r="G64" i="23"/>
  <x:c r="K64" i="23"/>
  <x:c r="L64" i="23"/>
  <x:c r="M64" i="23"/>
  <x:c r="N64" i="23"/>
  <x:c r="A65" i="23"/>
  <x:c r="G65" i="23"/>
  <x:c r="K65" i="23"/>
  <x:c r="L65" i="23"/>
  <x:c r="M65" i="23"/>
  <x:c r="N65" i="23"/>
  <x:c r="A66" i="23"/>
  <x:c r="G66" i="23"/>
  <x:c r="K66" i="23"/>
  <x:c r="L66" i="23"/>
  <x:c r="M66" i="23"/>
  <x:c r="N66" i="23"/>
  <x:c r="A67" i="23"/>
  <x:c r="G67" i="23"/>
  <x:c r="K67" i="23"/>
  <x:c r="L67" i="23"/>
  <x:c r="M67" i="23"/>
  <x:c r="N67" i="23"/>
  <x:c r="A68" i="23"/>
  <x:c r="G68" i="23"/>
  <x:c r="K68" i="23"/>
  <x:c r="L68" i="23"/>
  <x:c r="M68" i="23"/>
  <x:c r="N68" i="23"/>
  <x:c r="A69" i="23"/>
  <x:c r="G69" i="23"/>
  <x:c r="K69" i="23"/>
  <x:c r="L69" i="23"/>
  <x:c r="M69" i="23"/>
  <x:c r="N69" i="23"/>
  <x:c r="A70" i="23"/>
  <x:c r="G70" i="23"/>
  <x:c r="K70" i="23"/>
  <x:c r="L70" i="23"/>
  <x:c r="M70" i="23"/>
  <x:c r="N70" i="23"/>
</x:calcChain>
</file>

<file path=xl/sharedStrings.xml><?xml version="1.0" encoding="utf-8"?>
<x:sst xmlns:x="http://schemas.openxmlformats.org/spreadsheetml/2006/main" count="93" uniqueCount="93">
  <x:si>
    <x:t>Information</x:t>
  </x:si>
  <x:si>
    <x:t>Alla protokoll i denna fil hör till Lätt klass individuell.</x:t>
  </x:si>
  <x:si>
    <x:t>Överst finns tabeller över vilka protokoll som ska användas av respektive domare. Längre ner finns tabeller över hur poängen beräknas.</x:t>
  </x:si>
  <x:si>
    <x:t>Resultatfilerna (bladen) finns sist i filen.</x:t>
  </x:si>
  <x:si>
    <x:t xml:space="preserve">Gulmarkerade celler i protokollen markerar vilka celler som ska fyllas i. </x:t>
  </x:si>
  <x:si>
    <x:t xml:space="preserve">Grönmarkerade celler i resultatfilerna markerar vilka celler som ska fyllas i. </x:t>
  </x:si>
  <x:si>
    <x:t>Resultaten räknas ut automatiskt.</x:t>
  </x:si>
  <x:si>
    <x:t>Obs! Arbetsbladen är skyddade med lösenordet 123 för att undvika att celler och formler ändras av misstag.</x:t>
  </x:si>
  <x:si>
    <x:t>Tabell för vilka protokoll som ska användas</x:t>
  </x:si>
  <x:si>
    <x:t>Grund 0*</x:t>
  </x:si>
  <x:si>
    <x:t>Kür</x:t>
  </x:si>
  <x:si>
    <x:t>Kommentar</x:t>
  </x:si>
  <x:si>
    <x:t>Lätt klass individuell</x:t>
  </x:si>
  <x:si>
    <x:t>Lätt klass kür</x:t>
  </x:si>
  <x:si>
    <x:t>5 statiska övningar, ej svårighetsgrad</x:t>
  </x:si>
  <x:si>
    <x:t xml:space="preserve">Alla domare bedömer enligt dessa protokoll. </x:t>
  </x:si>
  <x:si>
    <x:r>
      <x:rPr>
        <x:i/>
        <x:vertAlign val="baseline"/>
        <x:sz val="10"/>
        <x:color rgb="FF000000"/>
        <x:rFont val="Arial"/>
        <x:family val="2"/>
      </x:rPr>
      <x:t>Innan tävlingen:</x:t>
    </x:r>
    <x:r>
      <x:rPr>
        <x:vertAlign val="baseline"/>
        <x:sz val="10"/>
        <x:color rgb="FF000000"/>
        <x:rFont val="Arial"/>
        <x:family val="2"/>
      </x:rPr>
      <x:t xml:space="preserve"> Fyll i information om de tävlande.</x:t>
    </x:r>
  </x:si>
  <x:si>
    <x:r>
      <x:rPr>
        <x:i/>
        <x:vertAlign val="baseline"/>
        <x:sz val="10"/>
        <x:color theme="1"/>
        <x:rFont val="Arial"/>
        <x:family val="2"/>
      </x:rPr>
      <x:t xml:space="preserve">Under tävlingsdagen: </x:t>
    </x:r>
    <x:r>
      <x:rPr>
        <x:vertAlign val="baseline"/>
        <x:sz val="10"/>
        <x:color rgb="FF000000"/>
        <x:rFont val="Arial"/>
        <x:family val="2"/>
      </x:rPr>
      <x:t>Fyll i poängen i de färgmarkerade fälten. Mallarna innehåller inte någon sorteringsfunktion efter placering.</x:t>
    </x:r>
  </x:si>
  <x:si>
    <x:t>Poängberäkning</x:t>
  </x:si>
  <x:si>
    <x:t>Klassen kan ha olika antal domare men varje domare dömer samma sak.</x:t>
  </x:si>
  <x:si>
    <x:t xml:space="preserve">Totalpoängen är en snittpoäng som räknas genom att man adderar domarnas poäng och delar den sammanladga poängen med antalet domare. </x:t>
  </x:si>
  <x:si>
    <x:t>1 domare</x:t>
  </x:si>
  <x:si>
    <x:t>A</x:t>
  </x:si>
  <x:si>
    <x:t>Totalt</x:t>
  </x:si>
  <x:si>
    <x:t xml:space="preserve">Grund </x:t>
  </x:si>
  <x:si>
    <x:t xml:space="preserve">Kür </x:t>
  </x:si>
  <x:si>
    <x:t>Poäng</x:t>
  </x:si>
  <x:si>
    <x:t>grund + kür</x:t>
  </x:si>
  <x:si>
    <x:t>2 domare</x:t>
  </x:si>
  <x:si>
    <x:t>B</x:t>
  </x:si>
  <x:si>
    <x:t>Grund</x:t>
  </x:si>
  <x:si>
    <x:t>A (grund+kür)</x:t>
  </x:si>
  <x:si>
    <x:t>B (grund+kür)</x:t>
  </x:si>
  <x:si>
    <x:t>(A+B)/2</x:t>
  </x:si>
  <x:si>
    <x:t>3 domare</x:t>
  </x:si>
  <x:si>
    <x:t>C</x:t>
  </x:si>
  <x:si>
    <x:t>C (grund+kür)</x:t>
  </x:si>
  <x:si>
    <x:t>(A+B+C)/3</x:t>
  </x:si>
  <x:si>
    <x:t>Start nr</x:t>
  </x:si>
  <x:si>
    <x:t>Bord</x:t>
  </x:si>
  <x:si>
    <x:t>Klass nr</x:t>
  </x:si>
  <x:si>
    <x:t>8</x:t>
  </x:si>
  <x:si>
    <x:t>Datum:</x:t>
  </x:si>
  <x:si>
    <x:t>Tävlingsplats:</x:t>
  </x:si>
  <x:si>
    <x:t>Uppsala</x:t>
  </x:si>
  <x:si>
    <x:t>Arm nr</x:t>
  </x:si>
  <x:si>
    <x:t>Blå 4</x:t>
  </x:si>
  <x:si>
    <x:t>Voltigör:</x:t>
  </x:si>
  <x:si>
    <x:t>Sigrid Stidelius</x:t>
  </x:si>
  <x:si>
    <x:t>Klubb:</x:t>
  </x:si>
  <x:si>
    <x:t>Uppsala Voltige</x:t>
  </x:si>
  <x:si>
    <x:t>SE</x:t>
  </x:si>
  <x:si>
    <x:t>Häst:</x:t>
  </x:si>
  <x:si>
    <x:t>Rörlig Movie</x:t>
  </x:si>
  <x:si>
    <x:t>Linförare:</x:t>
  </x:si>
  <x:si>
    <x:t>-</x:t>
  </x:si>
  <x:si>
    <x:t>id_53917_8_38749_1_A</x:t>
  </x:si>
  <x:si>
    <x:t>Kommentarer</x:t>
  </x:si>
  <x:si>
    <x:t>Grundsits</x:t>
  </x:si>
  <x:si>
    <x:t>Fana med endast ben</x:t>
  </x:si>
  <x:si>
    <x:t>Kvarnlyft</x:t>
  </x:si>
  <x:si>
    <x:t>Framåtsving (2 st)</x:t>
  </x:si>
  <x:si>
    <x:t>Knästående</x:t>
  </x:si>
  <x:si>
    <x:t>Avgång</x:t>
  </x:si>
  <x:si>
    <x:t>Summa grundövningar:</x:t>
  </x:si>
  <x:si>
    <x:t>Grundpoäng/antal övningar:</x:t>
  </x:si>
  <x:si>
    <x:t xml:space="preserve">/ 6  övningar  </x:t>
  </x:si>
  <x:si>
    <x:t>Poäng, grund</x:t>
  </x:si>
  <x:si>
    <x:t>Domare:</x:t>
  </x:si>
  <x:si>
    <x:t>Signatur:</x:t>
  </x:si>
  <x:si>
    <x:t>Varje övning bedöms utifrån utförande 0 -10</x:t>
  </x:si>
  <x:si>
    <x:t>Total</x:t>
  </x:si>
  <x:si>
    <x:t>Övningar</x:t>
  </x:si>
  <x:si>
    <x:t>Utförande</x:t>
  </x:si>
  <x:si>
    <x:t xml:space="preserve"> /5</x:t>
  </x:si>
  <x:si>
    <x:t>Anteckningar</x:t>
  </x:si>
  <x:si>
    <x:t>Total Kür:</x:t>
  </x:si>
  <x:si>
    <x:t>Klass</x:t>
  </x:si>
  <x:si>
    <x:t>Datum</x:t>
  </x:si>
  <x:si>
    <x:t>Plats</x:t>
  </x:si>
  <x:si>
    <x:t>Poäng A</x:t>
  </x:si>
  <x:si>
    <x:t>Poäng B</x:t>
  </x:si>
  <x:si>
    <x:t>Poäng C</x:t>
  </x:si>
  <x:si>
    <x:t>Poäng D</x:t>
  </x:si>
  <x:si>
    <x:t>Placering</x:t>
  </x:si>
  <x:si>
    <x:t>Voltigör</x:t>
  </x:si>
  <x:si>
    <x:t>Klubb</x:t>
  </x:si>
  <x:si>
    <x:t>Resultat</x:t>
  </x:si>
  <x:si>
    <x:t>moment</x:t>
  </x:si>
  <x:si>
    <x:t>id_3112_1_5275</x:t>
  </x:si>
  <x:si>
    <x:t>Tekniskt</x:t>
  </x:si>
  <x:si>
    <x:t>Artistiskt</x:t>
  </x:si>
  <x:si>
    <x:t>id_3788_3_5278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</x:si>
</x:sst>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0">
    <x:numFmt numFmtId="43" formatCode="_-* #,##0.00_-;\-* #,##0.00_-;_-* &quot;-&quot;??_-;_-@_-"/>
    <x:numFmt numFmtId="164" formatCode="_-* #,##0.00\ _k_r_-;\-* #,##0.00\ _k_r_-;_-* &quot;-&quot;??\ _k_r_-;_-@_-"/>
    <x:numFmt numFmtId="165" formatCode="0.0"/>
    <x:numFmt numFmtId="166" formatCode="0.000"/>
    <x:numFmt numFmtId="167" formatCode="#,##0.0"/>
    <x:numFmt numFmtId="168" formatCode="#,##0.000"/>
    <x:numFmt numFmtId="169" formatCode="0.000;&quot;&quot;"/>
    <x:numFmt numFmtId="170" formatCode=";;;"/>
    <x:numFmt numFmtId="171" formatCode="0.000;;0.000;@"/>
    <x:numFmt numFmtId="172" formatCode="_-* #,##0.0_-;\-* #,##0.0_-;_-* &quot;-&quot;??_-;_-@_-"/>
  </x:numFmts>
  <x:fonts count="19" x14ac:knownFonts="1">
    <x:font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sz val="10"/>
      <x:name val="Arial"/>
      <x:family val="2"/>
    </x:font>
    <x:font>
      <x:b/>
      <x:sz val="11"/>
      <x:name val="Verdana"/>
      <x:family val="2"/>
    </x:font>
    <x:font>
      <x:sz val="10"/>
      <x:name val="Verdana"/>
      <x:family val="2"/>
    </x:font>
    <x:font>
      <x:b/>
      <x:sz val="10"/>
      <x:name val="Verdana"/>
      <x:family val="2"/>
    </x:font>
    <x:font>
      <x:b/>
      <x:sz val="10"/>
      <x:name val="Arial"/>
      <x:family val="2"/>
    </x:font>
    <x:font>
      <x:strike/>
      <x:sz val="10"/>
      <x:name val="Verdana"/>
      <x:family val="2"/>
    </x:font>
    <x:font>
      <x:sz val="10"/>
      <x:name val="Arial"/>
      <x:family val="2"/>
    </x:font>
    <x:font>
      <x:sz val="14"/>
      <x:name val="Arial"/>
      <x:family val="2"/>
    </x:font>
    <x:font>
      <x:b/>
      <x:sz val="14"/>
      <x:name val="Arial"/>
      <x:family val="2"/>
    </x:font>
    <x:font>
      <x:sz val="10"/>
      <x:color rgb="FF000000"/>
      <x:name val="Arial"/>
      <x:family val="2"/>
    </x:font>
    <x:font>
      <x:i/>
      <x:sz val="10"/>
      <x:name val="Arial"/>
      <x:family val="2"/>
    </x:font>
    <x:font>
      <x:i/>
      <x:sz val="10"/>
      <x:color theme="1"/>
      <x:name val="Arial"/>
      <x:family val="2"/>
    </x:font>
    <x:font>
      <x:b/>
      <x:sz val="12"/>
      <x:color theme="1"/>
      <x:name val="Calibri"/>
      <x:family val="2"/>
      <x:scheme val="minor"/>
    </x:font>
    <x:font>
      <x:sz val="12"/>
      <x:color theme="1"/>
      <x:name val="Calibri"/>
      <x:family val="2"/>
      <x:scheme val="minor"/>
    </x:font>
    <x:font>
      <x:sz val="12"/>
      <x:color rgb="FF00FF00"/>
      <x:name val="Calibri"/>
      <x:family val="2"/>
      <x:scheme val="minor"/>
    </x:font>
    <x:font>
      <x:sz val="11"/>
      <x:name val="Verdana"/>
      <x:family val="2"/>
    </x:font>
    <x:font>
      <x:vertAlign val="baseline"/>
      <x:sz val="11"/>
      <x:color rgb="FF000000"/>
      <x:name val="Calibri"/>
      <x:family val="2"/>
    </x:font>
  </x:fonts>
  <x:fills count="8">
    <x:fill>
      <x:patternFill patternType="none"/>
    </x:fill>
    <x:fill>
      <x:patternFill patternType="gray125"/>
    </x:fill>
    <x:fill>
      <x:patternFill patternType="solid">
        <x:fgColor rgb="FFFFFFCC"/>
        <x:bgColor indexed="64"/>
      </x:patternFill>
    </x:fill>
    <x:fill>
      <x:patternFill patternType="solid">
        <x:fgColor rgb="FFCCFFCC"/>
        <x:bgColor indexed="64"/>
      </x:patternFill>
    </x:fill>
    <x:fill>
      <x:patternFill patternType="solid">
        <x:fgColor rgb="FF00FF00"/>
        <x:bgColor indexed="64"/>
      </x:patternFill>
    </x:fill>
    <x:fill>
      <x:patternFill patternType="solid">
        <x:fgColor theme="0" tint="-0.14999847407452621"/>
        <x:bgColor indexed="64"/>
      </x:patternFill>
    </x:fill>
    <x:fill>
      <x:patternFill patternType="solid">
        <x:fgColor rgb="FFE2EFDA"/>
        <x:bgColor indexed="64"/>
      </x:patternFill>
    </x:fill>
    <x:fill>
      <x:patternFill patternType="solid">
        <x:fgColor rgb="FFFFFFFF"/>
      </x:patternFill>
    </x:fill>
  </x:fills>
  <x:borders count="45">
    <x:border>
      <x:left/>
      <x:right/>
      <x:top/>
      <x:bottom/>
      <x:diagonal/>
    </x:border>
    <x:border>
      <x:left style="thin">
        <x:color auto="1"/>
      </x:left>
      <x:right/>
      <x:top style="thin">
        <x:color auto="1"/>
      </x:top>
      <x:bottom/>
      <x:diagonal/>
    </x:border>
    <x:border>
      <x:left/>
      <x:right style="thin">
        <x:color auto="1"/>
      </x:right>
      <x:top style="thin">
        <x:color auto="1"/>
      </x:top>
      <x:bottom/>
      <x:diagonal/>
    </x:border>
    <x:border>
      <x:left/>
      <x:right/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/>
      <x:top style="thin">
        <x:color auto="1"/>
      </x:top>
      <x:bottom style="thin">
        <x:color auto="1"/>
      </x:bottom>
      <x:diagonal/>
    </x:border>
    <x:border>
      <x:left/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/>
      <x:bottom/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/>
      <x:right/>
      <x:top/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/>
      <x:bottom/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 style="thin">
        <x:color auto="1"/>
      </x:left>
      <x:right style="thin">
        <x:color auto="1"/>
      </x:right>
      <x:top style="medium">
        <x:color indexed="64"/>
      </x:top>
      <x:bottom style="thin">
        <x:color auto="1"/>
      </x:bottom>
      <x:diagonal/>
    </x:border>
    <x:border>
      <x:left/>
      <x:right/>
      <x:top style="medium">
        <x:color indexed="64"/>
      </x:top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medium">
        <x:color auto="1"/>
      </x:bottom>
      <x:diagonal/>
    </x:border>
    <x:border>
      <x:left style="medium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thin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thin">
        <x:color auto="1"/>
      </x:left>
      <x:right/>
      <x:top style="medium">
        <x:color indexed="64"/>
      </x:top>
      <x:bottom style="thin">
        <x:color auto="1"/>
      </x:bottom>
      <x:diagonal/>
    </x:border>
    <x:border>
      <x:left/>
      <x:right style="thin">
        <x:color auto="1"/>
      </x:right>
      <x:top style="medium">
        <x:color indexed="64"/>
      </x:top>
      <x:bottom style="thin">
        <x:color auto="1"/>
      </x:bottom>
      <x:diagonal/>
    </x:border>
    <x:border>
      <x:left style="thin">
        <x:color auto="1"/>
      </x:left>
      <x:right/>
      <x:top style="medium">
        <x:color indexed="64"/>
      </x:top>
      <x:bottom/>
      <x:diagonal/>
    </x:border>
    <x:border>
      <x:left style="thin">
        <x:color auto="1"/>
      </x:left>
      <x:right style="medium">
        <x:color auto="1"/>
      </x:right>
      <x:top style="medium">
        <x:color auto="1"/>
      </x:top>
      <x:bottom/>
      <x:diagonal/>
    </x:border>
    <x:border>
      <x:left style="medium">
        <x:color auto="1"/>
      </x:left>
      <x:right style="thin">
        <x:color auto="1"/>
      </x:right>
      <x:top/>
      <x:bottom/>
      <x:diagonal/>
    </x:border>
    <x:border>
      <x:left style="thin">
        <x:color auto="1"/>
      </x:left>
      <x:right style="medium">
        <x:color auto="1"/>
      </x:right>
      <x:top/>
      <x:bottom/>
      <x:diagonal/>
    </x:border>
    <x:border>
      <x:left style="medium">
        <x:color indexed="64"/>
      </x:left>
      <x:right/>
      <x:top/>
      <x:bottom/>
      <x:diagonal/>
    </x:border>
    <x:border>
      <x:left style="medium">
        <x:color auto="1"/>
      </x:left>
      <x:right style="thin">
        <x:color auto="1"/>
      </x:right>
      <x:top/>
      <x:bottom style="medium">
        <x:color auto="1"/>
      </x:bottom>
      <x:diagonal/>
    </x:border>
    <x:border>
      <x:left style="thin">
        <x:color auto="1"/>
      </x:left>
      <x:right style="thin">
        <x:color auto="1"/>
      </x:right>
      <x:top/>
      <x:bottom style="medium">
        <x:color auto="1"/>
      </x:bottom>
      <x:diagonal/>
    </x:border>
    <x:border>
      <x:left style="thin">
        <x:color auto="1"/>
      </x:left>
      <x:right/>
      <x:top/>
      <x:bottom style="medium">
        <x:color indexed="64"/>
      </x:bottom>
      <x:diagonal/>
    </x:border>
    <x:border>
      <x:left style="thin">
        <x:color auto="1"/>
      </x:left>
      <x:right style="medium">
        <x:color auto="1"/>
      </x:right>
      <x:top/>
      <x:bottom style="medium">
        <x:color auto="1"/>
      </x:bottom>
      <x:diagonal/>
    </x:border>
    <x:border>
      <x:left/>
      <x:right style="medium">
        <x:color indexed="64"/>
      </x:right>
      <x:top/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/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/>
      <x:right style="medium">
        <x:color indexed="64"/>
      </x:right>
      <x:top/>
      <x:bottom/>
      <x:diagonal/>
    </x:border>
    <x:border>
      <x:left style="medium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 style="thin">
        <x:color auto="1"/>
      </x:left>
      <x:right style="thin">
        <x:color auto="1"/>
      </x:right>
      <x:top style="medium">
        <x:color auto="1"/>
      </x:top>
      <x:bottom style="medium">
        <x:color auto="1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/>
      <x:diagonal/>
    </x:border>
  </x:borders>
  <x:cellStyleXfs count="140">
    <x:xf numFmtId="0" fontId="0" fillId="0" borderId="0"/>
    <x:xf numFmtId="164" fontId="1" fillId="0" borderId="0" applyFont="0" applyFill="0" applyBorder="0" applyAlignment="0" applyProtection="0"/>
    <x:xf numFmtId="0" fontId="2" fillId="0" borderId="0"/>
    <x:xf numFmtId="0" fontId="8" fillId="0" borderId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0" fontId="2" fillId="0" borderId="0"/>
    <x:xf numFmtId="0" fontId="11" fillId="0" borderId="0"/>
    <x:xf numFmtId="0" fontId="1" fillId="0" borderId="0"/>
    <x:xf numFmtId="0" fontId="10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2" fillId="2" borderId="5" applyNumberFormat="1" applyFill="0" applyBorder="1" applyAlignment="1" applyProtection="1">
      <x:protection locked="1" hidden="0"/>
    </x:xf>
    <x:xf numFmtId="166" fontId="16" fillId="4" borderId="22" applyNumberFormat="1" applyFill="0" applyBorder="1" applyAlignment="1" applyProtection="1">
      <x:protection locked="0" hidden="0"/>
    </x:xf>
    <x:xf numFmtId="166" fontId="16" fillId="0" borderId="0" applyNumberFormat="1" applyFill="1" applyBorder="0" applyAlignment="1" applyProtection="1">
      <x:protection locked="0" hidden="0"/>
    </x:xf>
    <x:xf numFmtId="0" fontId="6" fillId="3" borderId="0" applyNumberFormat="1" applyFill="0" applyBorder="0" applyAlignment="1" applyProtection="1">
      <x:protection locked="1" hidden="0"/>
    </x:xf>
    <x:xf numFmtId="0" fontId="2" fillId="3" borderId="0" applyNumberFormat="1" applyFill="0" applyBorder="0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0" fontId="2" fillId="0" borderId="5" applyNumberFormat="1" applyFill="1" applyBorder="1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5" fillId="0" borderId="13" applyNumberFormat="1" applyFill="1" applyBorder="1" applyAlignment="1" applyProtection="1">
      <x:protection locked="0" hidden="0"/>
    </x:xf>
    <x:xf numFmtId="14" fontId="4" fillId="0" borderId="0" applyNumberFormat="1" applyFill="1" applyBorder="0" applyAlignment="1" applyProtection="1">
      <x:protection locked="0" hidden="0"/>
    </x:xf>
    <x:xf numFmtId="0" fontId="5" fillId="0" borderId="0" applyNumberFormat="1" applyFill="1" applyBorder="0" applyAlignment="1" applyProtection="1">
      <x:protection locked="0" hidden="0"/>
    </x:xf>
    <x:xf numFmtId="0" fontId="4" fillId="0" borderId="11" applyNumberFormat="1" applyFill="1" applyBorder="1" applyAlignment="1" applyProtection="1">
      <x:protection locked="1" hidden="0"/>
    </x:xf>
    <x:xf numFmtId="14" fontId="4" fillId="0" borderId="11" applyNumberFormat="1" applyFill="1" applyBorder="1" applyAlignment="1" applyProtection="1">
      <x:protection locked="0" hidden="0"/>
    </x:xf>
    <x:xf numFmtId="0" fontId="4" fillId="0" borderId="11" applyNumberFormat="1" applyFill="1" applyBorder="1" applyAlignment="1" applyProtection="1">
      <x:protection locked="0" hidden="0"/>
    </x:xf>
    <x:xf numFmtId="0" fontId="4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0" hidden="0"/>
    </x:xf>
    <x:xf numFmtId="0" fontId="4" fillId="0" borderId="0" applyNumberFormat="1" applyFill="1" applyBorder="0" applyAlignment="1" applyProtection="1">
      <x:protection locked="0" hidden="0"/>
    </x:xf>
    <x:xf numFmtId="172" fontId="17" fillId="0" borderId="14" applyNumberFormat="1" applyFill="1" applyBorder="1" applyAlignment="1" applyProtection="1">
      <x:protection locked="1" hidden="0"/>
    </x:xf>
    <x:xf numFmtId="0" fontId="17" fillId="0" borderId="19" applyNumberFormat="1" applyFill="1" applyBorder="1" applyAlignment="1" applyProtection="1">
      <x:protection locked="1" hidden="0"/>
    </x:xf>
    <x:xf numFmtId="0" fontId="4" fillId="7" borderId="0" applyNumberFormat="1" applyFill="0" applyBorder="0" applyAlignment="1" applyProtection="1">
      <x:protection locked="0" hidden="0"/>
    </x:xf>
    <x:xf numFmtId="0" fontId="4" fillId="0" borderId="6" applyNumberFormat="1" applyFill="1" applyBorder="1" applyAlignment="1" applyProtection="1">
      <x:protection locked="1" hidden="0"/>
    </x:xf>
    <x:xf numFmtId="0" fontId="4" fillId="0" borderId="7" applyNumberFormat="1" applyFill="1" applyBorder="1" applyAlignment="1" applyProtection="1">
      <x:protection locked="1" hidden="0"/>
    </x:xf>
    <x:xf numFmtId="167" fontId="4" fillId="0" borderId="6" applyNumberFormat="1" applyFill="1" applyBorder="1" applyAlignment="1" applyProtection="1">
      <x:protection locked="1" hidden="0"/>
    </x:xf>
    <x:xf numFmtId="167" fontId="4" fillId="0" borderId="9" applyNumberFormat="1" applyFill="1" applyBorder="1" applyAlignment="1" applyProtection="1">
      <x:protection locked="1" hidden="0"/>
    </x:xf>
    <x:xf numFmtId="167" fontId="4" fillId="0" borderId="7" applyNumberFormat="1" applyFill="1" applyBorder="1" applyAlignment="1" applyProtection="1">
      <x:protection locked="1" hidden="0"/>
    </x:xf>
    <x:xf numFmtId="167" fontId="4" fillId="0" borderId="5" applyNumberFormat="1" applyFill="1" applyBorder="1" applyAlignment="1" applyProtection="1">
      <x:protection locked="1" hidden="0"/>
    </x:xf>
    <x:xf numFmtId="167" fontId="4" fillId="2" borderId="5" applyNumberFormat="1" applyFill="0" applyBorder="1" applyAlignment="1" applyProtection="1">
      <x:protection locked="0" hidden="0"/>
    </x:xf>
    <x:xf numFmtId="0" fontId="4" fillId="0" borderId="5" applyNumberFormat="1" applyFill="1" applyBorder="1" applyAlignment="1" applyProtection="1">
      <x:protection locked="1" hidden="0"/>
    </x:xf>
    <x:xf numFmtId="168" fontId="4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4" fillId="0" borderId="3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4" fillId="0" borderId="18" applyNumberFormat="1" applyFill="1" applyBorder="1" applyAlignment="1" applyProtection="1">
      <x:protection locked="1" hidden="0"/>
    </x:xf>
    <x:xf numFmtId="0" fontId="4" fillId="0" borderId="16" applyNumberFormat="1" applyFill="1" applyBorder="1" applyAlignment="1" applyProtection="1">
      <x:protection locked="1" hidden="0"/>
    </x:xf>
    <x:xf numFmtId="0" fontId="4" fillId="0" borderId="17" applyNumberFormat="1" applyFill="1" applyBorder="1" applyAlignment="1" applyProtection="1">
      <x:protection locked="1" hidden="0"/>
    </x:xf>
    <x:xf numFmtId="0" fontId="4" fillId="0" borderId="15" applyNumberFormat="1" applyFill="1" applyBorder="1" applyAlignment="1" applyProtection="1">
      <x:protection locked="1" hidden="0"/>
    </x:xf>
    <x:xf numFmtId="167" fontId="4" fillId="0" borderId="0" applyNumberFormat="1" applyFill="1" applyBorder="0" applyAlignment="1" applyProtection="1">
      <x:protection locked="1" hidden="0"/>
    </x:xf>
    <x:xf numFmtId="0" fontId="7" fillId="0" borderId="14" applyNumberFormat="1" applyFill="1" applyBorder="1" applyAlignment="1" applyProtection="1">
      <x:protection locked="1" hidden="0"/>
    </x:xf>
    <x:xf numFmtId="0" fontId="4" fillId="0" borderId="13" applyNumberFormat="1" applyFill="1" applyBorder="1" applyAlignment="1" applyProtection="1">
      <x:protection locked="1" hidden="0"/>
    </x:xf>
    <x:xf numFmtId="168" fontId="3" fillId="0" borderId="19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168" fontId="5" fillId="0" borderId="0" applyNumberFormat="1" applyFill="1" applyBorder="0" applyAlignment="1" applyProtection="1">
      <x:protection locked="1" hidden="0"/>
    </x:xf>
    <x:xf numFmtId="0" fontId="5" fillId="0" borderId="23" applyNumberFormat="1" applyFill="1" applyBorder="1" applyAlignment="1" applyProtection="1">
      <x:protection locked="0" hidden="0"/>
    </x:xf>
    <x:xf numFmtId="0" fontId="4" fillId="0" borderId="4" applyNumberFormat="1" applyFill="1" applyBorder="1" applyAlignment="1" applyProtection="1">
      <x:protection locked="1" hidden="0"/>
    </x:xf>
    <x:xf numFmtId="165" fontId="4" fillId="2" borderId="5" applyNumberFormat="1" applyFill="0" applyBorder="1" applyAlignment="1" applyProtection="1">
      <x:protection locked="0" hidden="0"/>
    </x:xf>
    <x:xf numFmtId="165" fontId="4" fillId="0" borderId="4" applyNumberFormat="1" applyFill="1" applyBorder="1" applyAlignment="1" applyProtection="1">
      <x:protection locked="1" hidden="0"/>
    </x:xf>
    <x:xf numFmtId="0" fontId="5" fillId="0" borderId="3" applyNumberFormat="1" applyFill="1" applyBorder="1" applyAlignment="1" applyProtection="1">
      <x:protection locked="1" hidden="0"/>
    </x:xf>
    <x:xf numFmtId="166" fontId="4" fillId="0" borderId="19" applyNumberFormat="1" applyFill="1" applyBorder="1" applyAlignment="1" applyProtection="1">
      <x:protection locked="1" hidden="0"/>
    </x:xf>
    <x:xf numFmtId="9" fontId="6" fillId="0" borderId="0" applyNumberFormat="1" applyFill="1" applyBorder="0" applyAlignment="1" applyProtection="1">
      <x:protection locked="1" hidden="0"/>
    </x:xf>
    <x:xf numFmtId="0" fontId="4" fillId="0" borderId="1" applyNumberFormat="1" applyFill="1" applyBorder="1" applyAlignment="1" applyProtection="1">
      <x:protection locked="0" hidden="0"/>
    </x:xf>
    <x:xf numFmtId="0" fontId="4" fillId="0" borderId="3" applyNumberFormat="1" applyFill="1" applyBorder="1" applyAlignment="1" applyProtection="1">
      <x:protection locked="0" hidden="0"/>
    </x:xf>
    <x:xf numFmtId="0" fontId="4" fillId="0" borderId="2" applyNumberFormat="1" applyFill="1" applyBorder="1" applyAlignment="1" applyProtection="1">
      <x:protection locked="0" hidden="0"/>
    </x:xf>
    <x:xf numFmtId="0" fontId="4" fillId="0" borderId="18" applyNumberFormat="1" applyFill="1" applyBorder="1" applyAlignment="1" applyProtection="1">
      <x:protection locked="0" hidden="0"/>
    </x:xf>
    <x:xf numFmtId="0" fontId="4" fillId="0" borderId="16" applyNumberFormat="1" applyFill="1" applyBorder="1" applyAlignment="1" applyProtection="1">
      <x:protection locked="0" hidden="0"/>
    </x:xf>
    <x:xf numFmtId="0" fontId="4" fillId="0" borderId="17" applyNumberFormat="1" applyFill="1" applyBorder="1" applyAlignment="1" applyProtection="1">
      <x:protection locked="0" hidden="0"/>
    </x:xf>
    <x:xf numFmtId="0" fontId="4" fillId="0" borderId="15" applyNumberFormat="1" applyFill="1" applyBorder="1" applyAlignment="1" applyProtection="1">
      <x:protection locked="0" hidden="0"/>
    </x:xf>
    <x:xf numFmtId="166" fontId="5" fillId="0" borderId="13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0" fontId="15" fillId="0" borderId="0" applyNumberFormat="1" applyFill="1" applyBorder="0" applyAlignment="1" applyProtection="1">
      <x:protection locked="1" hidden="0"/>
    </x:xf>
    <x:xf numFmtId="0" fontId="15" fillId="0" borderId="0" applyNumberFormat="1" applyFill="1" applyBorder="0" applyAlignment="1" applyProtection="1">
      <x:protection locked="0" hidden="0"/>
    </x:xf>
    <x:xf numFmtId="0" fontId="14" fillId="0" borderId="5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0" fontId="15" fillId="0" borderId="5" applyNumberFormat="1" applyFill="1" applyBorder="1" applyAlignment="1" applyProtection="1">
      <x:protection locked="0" hidden="0"/>
    </x:xf>
    <x:xf numFmtId="14" fontId="0" fillId="0" borderId="5" applyNumberFormat="1" applyFill="1" applyBorder="1" applyAlignment="1" applyProtection="1">
      <x:protection locked="1" hidden="0"/>
    </x:xf>
    <x:xf numFmtId="0" fontId="15" fillId="5" borderId="25" applyNumberFormat="1" applyFill="0" applyBorder="1" applyAlignment="1" applyProtection="1">
      <x:protection locked="1" hidden="0"/>
    </x:xf>
    <x:xf numFmtId="0" fontId="15" fillId="5" borderId="23" applyNumberFormat="1" applyFill="0" applyBorder="1" applyAlignment="1" applyProtection="1">
      <x:protection locked="1" hidden="0"/>
    </x:xf>
    <x:xf numFmtId="0" fontId="15" fillId="5" borderId="26" applyNumberFormat="1" applyFill="0" applyBorder="1" applyAlignment="1" applyProtection="1">
      <x:protection locked="1" hidden="0"/>
    </x:xf>
    <x:xf numFmtId="0" fontId="15" fillId="5" borderId="27" applyNumberFormat="1" applyFill="0" applyBorder="1" applyAlignment="1" applyProtection="1">
      <x:protection locked="1" hidden="0"/>
    </x:xf>
    <x:xf numFmtId="0" fontId="15" fillId="5" borderId="22" applyNumberFormat="1" applyFill="0" applyBorder="1" applyAlignment="1" applyProtection="1">
      <x:protection locked="1" hidden="0"/>
    </x:xf>
    <x:xf numFmtId="0" fontId="15" fillId="5" borderId="28" applyNumberFormat="1" applyFill="0" applyBorder="1" applyAlignment="1" applyProtection="1">
      <x:protection locked="1" hidden="0"/>
    </x:xf>
    <x:xf numFmtId="0" fontId="15" fillId="5" borderId="29" applyNumberFormat="1" applyFill="0" applyBorder="1" applyAlignment="1" applyProtection="1">
      <x:protection locked="1" hidden="0"/>
    </x:xf>
    <x:xf numFmtId="0" fontId="15" fillId="5" borderId="30" applyNumberFormat="1" applyFill="0" applyBorder="1" applyAlignment="1" applyProtection="1">
      <x:protection locked="1" hidden="0"/>
    </x:xf>
    <x:xf numFmtId="0" fontId="15" fillId="5" borderId="31" applyNumberFormat="1" applyFill="0" applyBorder="1" applyAlignment="1" applyProtection="1">
      <x:protection locked="1" hidden="0"/>
    </x:xf>
    <x:xf numFmtId="0" fontId="15" fillId="5" borderId="8" applyNumberFormat="1" applyFill="0" applyBorder="1" applyAlignment="1" applyProtection="1">
      <x:protection locked="1" hidden="0"/>
    </x:xf>
    <x:xf numFmtId="0" fontId="15" fillId="5" borderId="5" applyNumberFormat="1" applyFill="0" applyBorder="1" applyAlignment="1" applyProtection="1">
      <x:protection locked="1" hidden="0"/>
    </x:xf>
    <x:xf numFmtId="0" fontId="15" fillId="5" borderId="10" applyNumberFormat="1" applyFill="0" applyBorder="1" applyAlignment="1" applyProtection="1">
      <x:protection locked="1" hidden="0"/>
    </x:xf>
    <x:xf numFmtId="0" fontId="15" fillId="5" borderId="18" applyNumberFormat="1" applyFill="0" applyBorder="1" applyAlignment="1" applyProtection="1">
      <x:protection locked="1" hidden="0"/>
    </x:xf>
    <x:xf numFmtId="0" fontId="15" fillId="5" borderId="32" applyNumberFormat="1" applyFill="0" applyBorder="1" applyAlignment="1" applyProtection="1">
      <x:protection locked="1" hidden="0"/>
    </x:xf>
    <x:xf numFmtId="0" fontId="15" fillId="5" borderId="33" applyNumberFormat="1" applyFill="0" applyBorder="1" applyAlignment="1" applyProtection="1">
      <x:protection locked="1" hidden="0"/>
    </x:xf>
    <x:xf numFmtId="0" fontId="15" fillId="5" borderId="4" applyNumberFormat="1" applyFill="0" applyBorder="1" applyAlignment="1" applyProtection="1">
      <x:protection locked="1" hidden="0"/>
    </x:xf>
    <x:xf numFmtId="0" fontId="15" fillId="5" borderId="16" applyNumberFormat="1" applyFill="0" applyBorder="1" applyAlignment="1" applyProtection="1">
      <x:protection locked="1" hidden="0"/>
    </x:xf>
    <x:xf numFmtId="0" fontId="15" fillId="5" borderId="34" applyNumberFormat="1" applyFill="0" applyBorder="1" applyAlignment="1" applyProtection="1">
      <x:protection locked="1" hidden="0"/>
    </x:xf>
    <x:xf numFmtId="0" fontId="15" fillId="5" borderId="35" applyNumberFormat="1" applyFill="0" applyBorder="1" applyAlignment="1" applyProtection="1">
      <x:protection locked="1" hidden="0"/>
    </x:xf>
    <x:xf numFmtId="0" fontId="15" fillId="5" borderId="24" applyNumberFormat="1" applyFill="0" applyBorder="1" applyAlignment="1" applyProtection="1">
      <x:protection locked="1" hidden="0"/>
    </x:xf>
    <x:xf numFmtId="0" fontId="15" fillId="5" borderId="36" applyNumberFormat="1" applyFill="0" applyBorder="1" applyAlignment="1" applyProtection="1">
      <x:protection locked="1" hidden="0"/>
    </x:xf>
    <x:xf numFmtId="0" fontId="15" fillId="5" borderId="37" applyNumberFormat="1" applyFill="0" applyBorder="1" applyAlignment="1" applyProtection="1">
      <x:protection locked="1" hidden="0"/>
    </x:xf>
    <x:xf numFmtId="0" fontId="15" fillId="0" borderId="20" applyNumberFormat="1" applyFill="1" applyBorder="1" applyAlignment="1" applyProtection="1">
      <x:protection locked="1" hidden="0"/>
    </x:xf>
    <x:xf numFmtId="0" fontId="15" fillId="0" borderId="21" applyNumberFormat="1" applyFill="1" applyBorder="1" applyAlignment="1" applyProtection="1">
      <x:protection locked="1" hidden="0"/>
    </x:xf>
    <x:xf numFmtId="0" fontId="15" fillId="0" borderId="38" applyNumberFormat="1" applyFill="1" applyBorder="1" applyAlignment="1" applyProtection="1">
      <x:protection locked="1" hidden="0"/>
    </x:xf>
    <x:xf numFmtId="170" fontId="15" fillId="0" borderId="44" applyNumberFormat="1" applyFill="1" applyBorder="1" applyAlignment="1" applyProtection="1">
      <x:protection locked="1" hidden="0"/>
    </x:xf>
    <x:xf numFmtId="0" fontId="15" fillId="0" borderId="23" applyNumberFormat="1" applyFill="1" applyBorder="1" applyAlignment="1" applyProtection="1">
      <x:protection locked="1" hidden="0"/>
    </x:xf>
    <x:xf numFmtId="0" fontId="15" fillId="0" borderId="23" applyNumberFormat="1" applyFill="1" applyBorder="1" applyAlignment="1" applyProtection="1">
      <x:protection locked="0" hidden="0"/>
    </x:xf>
    <x:xf numFmtId="0" fontId="15" fillId="0" borderId="22" applyNumberFormat="1" applyFill="1" applyBorder="1" applyAlignment="1" applyProtection="1">
      <x:protection locked="1" hidden="0"/>
    </x:xf>
    <x:xf numFmtId="166" fontId="0" fillId="0" borderId="22" applyNumberFormat="1" applyFill="1" applyBorder="1" applyAlignment="1" applyProtection="1">
      <x:protection locked="0" hidden="0"/>
    </x:xf>
    <x:xf numFmtId="166" fontId="0" fillId="6" borderId="22" applyNumberFormat="1" applyFill="0" applyBorder="1" applyAlignment="1" applyProtection="1">
      <x:protection locked="1" hidden="0"/>
    </x:xf>
    <x:xf numFmtId="169" fontId="0" fillId="0" borderId="22" applyNumberFormat="1" applyFill="1" applyBorder="1" applyAlignment="1" applyProtection="1">
      <x:protection locked="1" hidden="0"/>
    </x:xf>
    <x:xf numFmtId="170" fontId="15" fillId="0" borderId="40" applyNumberFormat="1" applyFill="1" applyBorder="1" applyAlignment="1" applyProtection="1">
      <x:protection locked="1" hidden="0"/>
    </x:xf>
    <x:xf numFmtId="0" fontId="15" fillId="0" borderId="39" applyNumberFormat="1" applyFill="1" applyBorder="1" applyAlignment="1" applyProtection="1">
      <x:protection locked="1" hidden="0"/>
    </x:xf>
    <x:xf numFmtId="0" fontId="15" fillId="0" borderId="11" applyNumberFormat="1" applyFill="1" applyBorder="1" applyAlignment="1" applyProtection="1">
      <x:protection locked="0" hidden="0"/>
    </x:xf>
    <x:xf numFmtId="0" fontId="15" fillId="0" borderId="15" applyNumberFormat="1" applyFill="1" applyBorder="1" applyAlignment="1" applyProtection="1">
      <x:protection locked="0" hidden="0"/>
    </x:xf>
    <x:xf numFmtId="166" fontId="0" fillId="0" borderId="24" applyNumberFormat="1" applyFill="1" applyBorder="1" applyAlignment="1" applyProtection="1">
      <x:protection locked="0" hidden="0"/>
    </x:xf>
    <x:xf numFmtId="166" fontId="15" fillId="0" borderId="41" applyNumberFormat="1" applyFill="1" applyBorder="1" applyAlignment="1" applyProtection="1">
      <x:protection locked="1" hidden="0"/>
    </x:xf>
    <x:xf numFmtId="170" fontId="15" fillId="0" borderId="39" applyNumberFormat="1" applyFill="1" applyBorder="1" applyAlignment="1" applyProtection="1">
      <x:protection locked="1" hidden="0"/>
    </x:xf>
    <x:xf numFmtId="0" fontId="15" fillId="0" borderId="5" applyNumberFormat="1" applyFill="1" applyBorder="1" applyAlignment="1" applyProtection="1">
      <x:protection locked="1" hidden="0"/>
    </x:xf>
    <x:xf numFmtId="166" fontId="15" fillId="0" borderId="5" applyNumberFormat="1" applyFill="1" applyBorder="1" applyAlignment="1" applyProtection="1">
      <x:protection locked="0" hidden="0"/>
    </x:xf>
    <x:xf numFmtId="166" fontId="15" fillId="0" borderId="5" applyNumberFormat="1" applyFill="1" applyBorder="1" applyAlignment="1" applyProtection="1">
      <x:protection locked="1" hidden="0"/>
    </x:xf>
    <x:xf numFmtId="170" fontId="15" fillId="0" borderId="41" applyNumberFormat="1" applyFill="1" applyBorder="1" applyAlignment="1" applyProtection="1">
      <x:protection locked="1" hidden="0"/>
    </x:xf>
    <x:xf numFmtId="170" fontId="15" fillId="0" borderId="42" applyNumberFormat="1" applyFill="1" applyBorder="1" applyAlignment="1" applyProtection="1">
      <x:protection locked="1" hidden="0"/>
    </x:xf>
    <x:xf numFmtId="0" fontId="15" fillId="0" borderId="21" applyNumberFormat="1" applyFill="1" applyBorder="1" applyAlignment="1" applyProtection="1">
      <x:protection locked="0" hidden="0"/>
    </x:xf>
    <x:xf numFmtId="0" fontId="15" fillId="0" borderId="24" applyNumberFormat="1" applyFill="1" applyBorder="1" applyAlignment="1" applyProtection="1">
      <x:protection locked="1" hidden="0"/>
    </x:xf>
    <x:xf numFmtId="166" fontId="15" fillId="0" borderId="24" applyNumberFormat="1" applyFill="1" applyBorder="1" applyAlignment="1" applyProtection="1">
      <x:protection locked="0" hidden="0"/>
    </x:xf>
    <x:xf numFmtId="166" fontId="15" fillId="0" borderId="24" applyNumberFormat="1" applyFill="1" applyBorder="1" applyAlignment="1" applyProtection="1">
      <x:protection locked="1" hidden="0"/>
    </x:xf>
    <x:xf numFmtId="169" fontId="15" fillId="0" borderId="24" applyNumberFormat="1" applyFill="1" applyBorder="1" applyAlignment="1" applyProtection="1">
      <x:protection locked="1" hidden="0"/>
    </x:xf>
    <x:xf numFmtId="170" fontId="15" fillId="0" borderId="38" applyNumberFormat="1" applyFill="1" applyBorder="1" applyAlignment="1" applyProtection="1">
      <x:protection locked="1" hidden="0"/>
    </x:xf>
    <x:xf numFmtId="171" fontId="15" fillId="0" borderId="5" applyNumberFormat="1" applyFill="1" applyBorder="1" applyAlignment="1" applyProtection="1">
      <x:protection locked="1" hidden="0"/>
    </x:xf>
    <x:xf numFmtId="171" fontId="15" fillId="0" borderId="24" applyNumberFormat="1" applyFill="1" applyBorder="1" applyAlignment="1" applyProtection="1">
      <x:protection locked="1" hidden="0"/>
    </x:xf>
    <x:xf numFmtId="169" fontId="0" fillId="0" borderId="43" applyNumberFormat="1" applyFill="1" applyBorder="1" applyAlignment="1" applyProtection="1">
      <x:protection locked="1" hidden="0"/>
    </x:xf>
    <x:xf numFmtId="169" fontId="15" fillId="0" borderId="5" applyNumberFormat="1" applyFill="1" applyBorder="1" applyAlignment="1" applyProtection="1">
      <x:protection locked="1" hidden="0"/>
    </x:xf>
    <x:xf numFmtId="0" fontId="15" fillId="5" borderId="4" applyNumberFormat="1" applyFill="0" applyBorder="1" applyAlignment="1" applyProtection="1">
      <x:protection locked="0" hidden="0"/>
    </x:xf>
    <x:xf numFmtId="0" fontId="15" fillId="5" borderId="24" applyNumberFormat="1" applyFill="0" applyBorder="1" applyAlignment="1" applyProtection="1">
      <x:protection locked="0" hidden="0"/>
    </x:xf>
    <x:xf numFmtId="166" fontId="15" fillId="0" borderId="22" applyNumberFormat="1" applyFill="1" applyBorder="1" applyAlignment="1" applyProtection="1">
      <x:protection locked="0" hidden="0"/>
    </x:xf>
    <x:xf numFmtId="169" fontId="15" fillId="0" borderId="22" applyNumberFormat="1" applyFill="1" applyBorder="1" applyAlignment="1" applyProtection="1">
      <x:protection locked="1" hidden="0"/>
    </x:xf>
  </x:cellStyleXfs>
  <x:cellXfs count="317">
    <x:xf numFmtId="0" fontId="0" fillId="0" borderId="0" xfId="0"/>
    <x:xf numFmtId="0" fontId="4" fillId="0" borderId="11" xfId="0" applyFont="1" applyBorder="1"/>
    <x:xf numFmtId="9" fontId="6" fillId="0" borderId="0" xfId="0" applyNumberFormat="1" applyFont="1" applyAlignment="1">
      <x:alignment horizontal="center" textRotation="90" wrapText="1"/>
    </x:xf>
    <x:xf numFmtId="0" fontId="4" fillId="0" borderId="0" xfId="0" applyFont="1"/>
    <x:xf numFmtId="0" fontId="4" fillId="0" borderId="0" xfId="0" applyFont="1" applyAlignment="1">
      <x:alignment horizontal="right"/>
    </x:xf>
    <x:xf numFmtId="167" fontId="4" fillId="0" borderId="0" xfId="0" applyNumberFormat="1" applyFont="1" applyAlignment="1">
      <x:alignment horizontal="center"/>
    </x:xf>
    <x:xf numFmtId="0" fontId="3" fillId="0" borderId="12" xfId="0" applyFont="1" applyBorder="1" applyAlignment="1">
      <x:alignment horizontal="left" vertical="center"/>
    </x:xf>
    <x:xf numFmtId="0" fontId="7" fillId="0" borderId="14" xfId="0" applyFont="1" applyBorder="1" applyAlignment="1">
      <x:alignment horizontal="right" vertical="center"/>
    </x:xf>
    <x:xf numFmtId="0" fontId="4" fillId="0" borderId="13" xfId="0" applyFont="1" applyBorder="1" applyAlignment="1">
      <x:alignment horizontal="right" vertical="center"/>
    </x:xf>
    <x:xf numFmtId="168" fontId="3" fillId="0" borderId="19" xfId="0" applyNumberFormat="1" applyFont="1" applyBorder="1" applyAlignment="1">
      <x:alignment horizontal="center" vertical="center"/>
    </x:xf>
    <x:xf numFmtId="168" fontId="5" fillId="0" borderId="0" xfId="0" applyNumberFormat="1" applyFont="1" applyAlignment="1">
      <x:alignment horizontal="center"/>
    </x:xf>
    <x:xf numFmtId="0" fontId="3" fillId="0" borderId="0" xfId="0" applyFont="1" applyAlignment="1">
      <x:alignment vertical="center"/>
    </x:xf>
    <x:xf numFmtId="0" fontId="4" fillId="0" borderId="0" xfId="0" applyFont="1" applyAlignment="1">
      <x:alignment vertical="center"/>
    </x:xf>
    <x:xf numFmtId="0" fontId="7" fillId="0" borderId="0" xfId="0" applyFont="1"/>
    <x:xf numFmtId="0" fontId="5" fillId="0" borderId="0" xfId="0" applyFont="1" applyAlignment="1">
      <x:alignment horizontal="left"/>
    </x:xf>
    <x:xf numFmtId="0" fontId="7" fillId="0" borderId="0" xfId="0" applyFont="1" applyAlignment="1">
      <x:alignment horizontal="right"/>
    </x:xf>
    <x:xf numFmtId="0" fontId="4" fillId="0" borderId="4" xfId="0" applyFont="1" applyBorder="1" applyAlignment="1">
      <x:alignment horizontal="center"/>
    </x:xf>
    <x:xf numFmtId="0" fontId="3" fillId="0" borderId="0" xfId="0" applyFont="1"/>
    <x:xf numFmtId="0" fontId="4" fillId="0" borderId="6" xfId="0" applyFont="1" applyBorder="1"/>
    <x:xf numFmtId="166" fontId="5" fillId="0" borderId="13" xfId="1" applyNumberFormat="1" applyFont="1" applyFill="1" applyBorder="1" applyAlignment="1">
      <x:alignment horizontal="center" vertical="center"/>
    </x:xf>
    <x:xf numFmtId="0" fontId="9" fillId="0" borderId="0" xfId="7" applyFont="1"/>
    <x:xf numFmtId="0" fontId="2" fillId="0" borderId="0" xfId="7"/>
    <x:xf numFmtId="0" fontId="2" fillId="0" borderId="5" xfId="7" applyBorder="1"/>
    <x:xf numFmtId="0" fontId="6" fillId="0" borderId="0" xfId="7" applyFont="1"/>
    <x:xf numFmtId="0" fontId="10" fillId="0" borderId="0" xfId="7" applyFont="1"/>
    <x:xf numFmtId="0" fontId="6" fillId="0" borderId="5" xfId="7" applyFont="1" applyBorder="1"/>
    <x:xf numFmtId="0" fontId="3" fillId="0" borderId="23" xfId="0" applyFont="1" applyBorder="1" applyAlignment="1">
      <x:alignment vertical="center"/>
    </x:xf>
    <x:xf numFmtId="0" fontId="6" fillId="3" borderId="0" xfId="0" applyFont="1" applyFill="1"/>
    <x:xf numFmtId="0" fontId="2" fillId="3" borderId="0" xfId="0" applyFont="1" applyFill="1"/>
    <x:xf numFmtId="0" fontId="8" fillId="2" borderId="5" xfId="3" applyFill="1" applyBorder="1"/>
    <x:xf numFmtId="0" fontId="8" fillId="0" borderId="0" xfId="3"/>
    <x:xf numFmtId="0" fontId="2" fillId="0" borderId="0" xfId="3" applyFont="1"/>
    <x:xf numFmtId="0" fontId="6" fillId="0" borderId="0" xfId="3" applyFont="1"/>
    <x:xf numFmtId="0" fontId="14" fillId="0" borderId="5" xfId="0" applyFont="1" applyBorder="1"/>
    <x:xf numFmtId="0" fontId="15" fillId="0" borderId="0" xfId="0" applyFont="1"/>
    <x:xf numFmtId="0" fontId="15" fillId="5" borderId="25" xfId="0" applyFont="1" applyFill="1" applyBorder="1"/>
    <x:xf numFmtId="0" fontId="15" fillId="5" borderId="23" xfId="0" applyFont="1" applyFill="1" applyBorder="1"/>
    <x:xf numFmtId="0" fontId="15" fillId="5" borderId="23" xfId="0" applyFont="1" applyFill="1" applyBorder="1" applyAlignment="1">
      <x:alignment horizontal="left"/>
    </x:xf>
    <x:xf numFmtId="0" fontId="15" fillId="5" borderId="26" xfId="0" applyFont="1" applyFill="1" applyBorder="1" applyAlignment="1">
      <x:alignment horizontal="center"/>
    </x:xf>
    <x:xf numFmtId="0" fontId="15" fillId="5" borderId="27" xfId="0" applyFont="1" applyFill="1" applyBorder="1" applyAlignment="1">
      <x:alignment horizontal="right"/>
    </x:xf>
    <x:xf numFmtId="0" fontId="15" fillId="5" borderId="28" xfId="0" applyFont="1" applyFill="1" applyBorder="1"/>
    <x:xf numFmtId="0" fontId="15" fillId="5" borderId="22" xfId="0" applyFont="1" applyFill="1" applyBorder="1"/>
    <x:xf numFmtId="0" fontId="15" fillId="5" borderId="26" xfId="0" applyFont="1" applyFill="1" applyBorder="1" applyAlignment="1">
      <x:alignment horizontal="center" vertical="center" wrapText="1"/>
    </x:xf>
    <x:xf numFmtId="0" fontId="15" fillId="5" borderId="29" xfId="0" applyFont="1" applyFill="1" applyBorder="1" applyAlignment="1">
      <x:alignment horizontal="center" vertical="center" wrapText="1"/>
    </x:xf>
    <x:xf numFmtId="0" fontId="15" fillId="5" borderId="30" xfId="0" applyFont="1" applyFill="1" applyBorder="1" applyAlignment="1">
      <x:alignment horizontal="center" vertical="center"/>
    </x:xf>
    <x:xf numFmtId="0" fontId="15" fillId="5" borderId="31" xfId="0" applyFont="1" applyFill="1" applyBorder="1" applyAlignment="1">
      <x:alignment horizontal="left" vertical="center"/>
    </x:xf>
    <x:xf numFmtId="0" fontId="15" fillId="5" borderId="8" xfId="0" applyFont="1" applyFill="1" applyBorder="1" applyAlignment="1">
      <x:alignment horizontal="left" vertical="center"/>
    </x:xf>
    <x:xf numFmtId="0" fontId="15" fillId="5" borderId="8" xfId="0" applyFont="1" applyFill="1" applyBorder="1" applyAlignment="1">
      <x:alignment horizontal="center"/>
    </x:xf>
    <x:xf numFmtId="0" fontId="15" fillId="5" borderId="5" xfId="0" applyFont="1" applyFill="1" applyBorder="1" applyAlignment="1">
      <x:alignment vertical="center"/>
    </x:xf>
    <x:xf numFmtId="0" fontId="15" fillId="5" borderId="10" xfId="0" applyFont="1" applyFill="1" applyBorder="1"/>
    <x:xf numFmtId="0" fontId="15" fillId="5" borderId="5" xfId="0" applyFont="1" applyFill="1" applyBorder="1"/>
    <x:xf numFmtId="0" fontId="15" fillId="5" borderId="8" xfId="0" applyFont="1" applyFill="1" applyBorder="1" applyAlignment="1">
      <x:alignment horizontal="center" vertical="center" wrapText="1"/>
    </x:xf>
    <x:xf numFmtId="0" fontId="15" fillId="5" borderId="18" xfId="0" applyFont="1" applyFill="1" applyBorder="1" applyAlignment="1">
      <x:alignment horizontal="center" vertical="center" wrapText="1"/>
    </x:xf>
    <x:xf numFmtId="0" fontId="15" fillId="5" borderId="32" xfId="0" applyFont="1" applyFill="1" applyBorder="1" applyAlignment="1">
      <x:alignment horizontal="center" vertical="center"/>
    </x:xf>
    <x:xf numFmtId="0" fontId="15" fillId="5" borderId="33" xfId="0" applyFont="1" applyFill="1" applyBorder="1" applyAlignment="1">
      <x:alignment horizontal="left" vertical="center"/>
    </x:xf>
    <x:xf numFmtId="0" fontId="15" fillId="5" borderId="18" xfId="0" applyFont="1" applyFill="1" applyBorder="1" applyAlignment="1">
      <x:alignment horizontal="left" vertical="center"/>
    </x:xf>
    <x:xf numFmtId="0" fontId="15" fillId="5" borderId="4" xfId="0" applyFont="1" applyFill="1" applyBorder="1" applyAlignment="1">
      <x:alignment horizontal="left" vertical="center"/>
    </x:xf>
    <x:xf numFmtId="0" fontId="15" fillId="5" borderId="16" xfId="0" applyFont="1" applyFill="1" applyBorder="1" applyAlignment="1">
      <x:alignment horizontal="center"/>
    </x:xf>
    <x:xf numFmtId="0" fontId="15" fillId="5" borderId="4" xfId="0" applyFont="1" applyFill="1" applyBorder="1" applyAlignment="1">
      <x:alignment vertical="center"/>
    </x:xf>
    <x:xf numFmtId="0" fontId="15" fillId="5" borderId="4" xfId="0" applyFont="1" applyFill="1" applyBorder="1"/>
    <x:xf numFmtId="0" fontId="15" fillId="5" borderId="34" xfId="0" applyFont="1" applyFill="1" applyBorder="1" applyAlignment="1">
      <x:alignment horizontal="left" vertical="center"/>
    </x:xf>
    <x:xf numFmtId="0" fontId="15" fillId="5" borderId="35" xfId="0" applyFont="1" applyFill="1" applyBorder="1" applyAlignment="1">
      <x:alignment horizontal="left" vertical="center"/>
    </x:xf>
    <x:xf numFmtId="0" fontId="15" fillId="5" borderId="35" xfId="0" applyFont="1" applyFill="1" applyBorder="1" applyAlignment="1">
      <x:alignment horizontal="left"/>
    </x:xf>
    <x:xf numFmtId="0" fontId="15" fillId="5" borderId="35" xfId="0" applyFont="1" applyFill="1" applyBorder="1" applyAlignment="1">
      <x:alignment horizontal="center"/>
    </x:xf>
    <x:xf numFmtId="0" fontId="15" fillId="5" borderId="24" xfId="0" applyFont="1" applyFill="1" applyBorder="1" applyAlignment="1">
      <x:alignment vertical="center"/>
    </x:xf>
    <x:xf numFmtId="0" fontId="15" fillId="5" borderId="24" xfId="0" applyFont="1" applyFill="1" applyBorder="1"/>
    <x:xf numFmtId="0" fontId="15" fillId="5" borderId="35" xfId="0" applyFont="1" applyFill="1" applyBorder="1" applyAlignment="1">
      <x:alignment vertical="center" wrapText="1"/>
    </x:xf>
    <x:xf numFmtId="0" fontId="15" fillId="5" borderId="36" xfId="0" applyFont="1" applyFill="1" applyBorder="1" applyAlignment="1">
      <x:alignment vertical="center" wrapText="1"/>
    </x:xf>
    <x:xf numFmtId="0" fontId="15" fillId="5" borderId="37" xfId="0" applyFont="1" applyFill="1" applyBorder="1" applyAlignment="1">
      <x:alignment vertical="center"/>
    </x:xf>
    <x:xf numFmtId="0" fontId="15" fillId="0" borderId="20" xfId="0" applyFont="1" applyBorder="1" applyAlignment="1">
      <x:alignment horizontal="left" vertical="center"/>
    </x:xf>
    <x:xf numFmtId="0" fontId="15" fillId="0" borderId="21" xfId="0" applyFont="1" applyBorder="1" applyAlignment="1">
      <x:alignment horizontal="left" vertical="center"/>
    </x:xf>
    <x:xf numFmtId="0" fontId="15" fillId="0" borderId="21" xfId="0" applyFont="1" applyBorder="1" applyAlignment="1">
      <x:alignment horizontal="left"/>
    </x:xf>
    <x:xf numFmtId="0" fontId="15" fillId="0" borderId="21" xfId="0" applyFont="1" applyBorder="1" applyAlignment="1">
      <x:alignment horizontal="center"/>
    </x:xf>
    <x:xf numFmtId="0" fontId="15" fillId="0" borderId="21" xfId="0" applyFont="1" applyBorder="1" applyAlignment="1">
      <x:alignment vertical="center"/>
    </x:xf>
    <x:xf numFmtId="0" fontId="15" fillId="0" borderId="21" xfId="0" applyFont="1" applyBorder="1"/>
    <x:xf numFmtId="0" fontId="15" fillId="0" borderId="21" xfId="0" applyFont="1" applyBorder="1" applyAlignment="1">
      <x:alignment vertical="center" wrapText="1"/>
    </x:xf>
    <x:xf numFmtId="0" fontId="15" fillId="0" borderId="38" xfId="0" applyFont="1" applyBorder="1" applyAlignment="1">
      <x:alignment vertical="center"/>
    </x:xf>
    <x:xf numFmtId="0" fontId="15" fillId="0" borderId="23" xfId="0" applyFont="1" applyBorder="1"/>
    <x:xf numFmtId="0" fontId="15" fillId="0" borderId="22" xfId="0" applyFont="1" applyBorder="1"/>
    <x:xf numFmtId="166" fontId="0" fillId="6" borderId="22" xfId="0" applyNumberFormat="1" applyFill="1" applyBorder="1"/>
    <x:xf numFmtId="169" fontId="0" fillId="0" borderId="22" xfId="0" applyNumberFormat="1" applyBorder="1"/>
    <x:xf numFmtId="0" fontId="15" fillId="0" borderId="23" xfId="0" applyFont="1" applyBorder="1" applyAlignment="1">
      <x:alignment horizontal="center" vertical="center"/>
    </x:xf>
    <x:xf numFmtId="170" fontId="15" fillId="0" borderId="40" xfId="0" applyNumberFormat="1" applyFont="1" applyBorder="1" applyAlignment="1">
      <x:alignment horizontal="center"/>
    </x:xf>
    <x:xf numFmtId="0" fontId="0" fillId="0" borderId="5" xfId="0" applyBorder="1"/>
    <x:xf numFmtId="0" fontId="15" fillId="0" borderId="0" xfId="0" applyFont="1" applyAlignment="1">
      <x:alignment horizontal="center" vertical="center"/>
    </x:xf>
    <x:xf numFmtId="166" fontId="15" fillId="0" borderId="41" xfId="0" applyNumberFormat="1" applyFont="1" applyBorder="1" applyAlignment="1">
      <x:alignment horizontal="center" vertical="center"/>
    </x:xf>
    <x:xf numFmtId="0" fontId="15" fillId="0" borderId="5" xfId="0" applyFont="1" applyBorder="1"/>
    <x:xf numFmtId="166" fontId="15" fillId="0" borderId="5" xfId="0" applyNumberFormat="1" applyFont="1" applyBorder="1" applyAlignment="1">
      <x:alignment horizontal="center"/>
    </x:xf>
    <x:xf numFmtId="171" fontId="15" fillId="0" borderId="5" xfId="0" applyNumberFormat="1" applyFont="1" applyBorder="1" applyAlignment="1">
      <x:alignment horizontal="center"/>
    </x:xf>
    <x:xf numFmtId="170" fontId="15" fillId="0" borderId="41" xfId="0" applyNumberFormat="1" applyFont="1" applyBorder="1" applyAlignment="1">
      <x:alignment horizontal="center" vertical="center"/>
    </x:xf>
    <x:xf numFmtId="0" fontId="15" fillId="0" borderId="24" xfId="0" applyFont="1" applyBorder="1"/>
    <x:xf numFmtId="166" fontId="15" fillId="0" borderId="24" xfId="0" applyNumberFormat="1" applyFont="1" applyBorder="1" applyAlignment="1">
      <x:alignment horizontal="center"/>
    </x:xf>
    <x:xf numFmtId="171" fontId="15" fillId="0" borderId="24" xfId="0" applyNumberFormat="1" applyFont="1" applyBorder="1" applyAlignment="1">
      <x:alignment horizontal="center"/>
    </x:xf>
    <x:xf numFmtId="169" fontId="15" fillId="0" borderId="24" xfId="0" applyNumberFormat="1" applyFont="1" applyBorder="1" applyAlignment="1">
      <x:alignment horizontal="center" vertical="center"/>
    </x:xf>
    <x:xf numFmtId="0" fontId="15" fillId="0" borderId="21" xfId="0" applyFont="1" applyBorder="1" applyAlignment="1">
      <x:alignment horizontal="center" vertical="center"/>
    </x:xf>
    <x:xf numFmtId="170" fontId="15" fillId="0" borderId="38" xfId="0" applyNumberFormat="1" applyFont="1" applyBorder="1" applyAlignment="1">
      <x:alignment horizontal="center" vertical="center"/>
    </x:xf>
    <x:xf numFmtId="169" fontId="0" fillId="0" borderId="43" xfId="0" applyNumberFormat="1" applyBorder="1"/>
    <x:xf numFmtId="169" fontId="15" fillId="0" borderId="5" xfId="0" applyNumberFormat="1" applyFont="1" applyBorder="1" applyAlignment="1">
      <x:alignment horizontal="center" vertical="center"/>
    </x:xf>
    <x:xf numFmtId="0" fontId="15" fillId="0" borderId="5" xfId="0" applyFont="1" applyBorder="1" applyAlignment="1" applyProtection="1">
      <x:alignment horizontal="left"/>
      <x:protection locked="0"/>
    </x:xf>
    <x:xf numFmtId="0" fontId="15" fillId="0" borderId="0" xfId="0" applyFont="1" applyProtection="1">
      <x:protection locked="0"/>
    </x:xf>
    <x:xf numFmtId="0" fontId="15" fillId="0" borderId="0" xfId="0" applyFont="1" applyAlignment="1" applyProtection="1">
      <x:alignment horizontal="left"/>
      <x:protection locked="0"/>
    </x:xf>
    <x:xf numFmtId="0" fontId="15" fillId="0" borderId="23" xfId="0" applyFont="1" applyBorder="1" applyAlignment="1" applyProtection="1">
      <x:alignment horizontal="left"/>
      <x:protection locked="0"/>
    </x:xf>
    <x:xf numFmtId="0" fontId="15" fillId="0" borderId="23" xfId="0" applyFont="1" applyBorder="1" applyAlignment="1" applyProtection="1">
      <x:alignment horizontal="center"/>
      <x:protection locked="0"/>
    </x:xf>
    <x:xf numFmtId="0" fontId="15" fillId="0" borderId="23" xfId="0" applyFont="1" applyBorder="1" applyProtection="1">
      <x:protection locked="0"/>
    </x:xf>
    <x:xf numFmtId="0" fontId="15" fillId="0" borderId="11" xfId="0" applyFont="1" applyBorder="1" applyAlignment="1" applyProtection="1">
      <x:alignment horizontal="left"/>
      <x:protection locked="0"/>
    </x:xf>
    <x:xf numFmtId="0" fontId="15" fillId="0" borderId="0" xfId="0" applyFont="1" applyAlignment="1" applyProtection="1">
      <x:alignment horizontal="center"/>
      <x:protection locked="0"/>
    </x:xf>
    <x:xf numFmtId="0" fontId="15" fillId="0" borderId="15" xfId="0" applyFont="1" applyBorder="1" applyProtection="1">
      <x:protection locked="0"/>
    </x:xf>
    <x:xf numFmtId="0" fontId="15" fillId="0" borderId="21" xfId="0" applyFont="1" applyBorder="1" applyAlignment="1" applyProtection="1">
      <x:alignment horizontal="left"/>
      <x:protection locked="0"/>
    </x:xf>
    <x:xf numFmtId="0" fontId="15" fillId="0" borderId="21" xfId="0" applyFont="1" applyBorder="1" applyAlignment="1" applyProtection="1">
      <x:alignment horizontal="center"/>
      <x:protection locked="0"/>
    </x:xf>
    <x:xf numFmtId="0" fontId="15" fillId="0" borderId="21" xfId="0" applyFont="1" applyBorder="1" applyProtection="1">
      <x:protection locked="0"/>
    </x:xf>
    <x:xf numFmtId="166" fontId="0" fillId="0" borderId="22" xfId="0" applyNumberFormat="1" applyBorder="1" applyProtection="1">
      <x:protection locked="0"/>
    </x:xf>
    <x:xf numFmtId="166" fontId="0" fillId="0" borderId="24" xfId="0" applyNumberFormat="1" applyBorder="1" applyProtection="1">
      <x:protection locked="0"/>
    </x:xf>
    <x:xf numFmtId="166" fontId="15" fillId="0" borderId="5" xfId="0" applyNumberFormat="1" applyFont="1" applyBorder="1" applyAlignment="1" applyProtection="1">
      <x:alignment horizontal="center"/>
      <x:protection locked="0"/>
    </x:xf>
    <x:xf numFmtId="166" fontId="15" fillId="0" borderId="24" xfId="0" applyNumberFormat="1" applyFont="1" applyBorder="1" applyAlignment="1" applyProtection="1">
      <x:alignment horizontal="center"/>
      <x:protection locked="0"/>
    </x:xf>
    <x:xf numFmtId="170" fontId="15" fillId="0" borderId="44" xfId="8" applyNumberFormat="1" applyFont="1" applyBorder="1" applyAlignment="1">
      <x:alignment horizontal="center" vertical="center"/>
    </x:xf>
    <x:xf numFmtId="0" fontId="15" fillId="0" borderId="39" xfId="8" applyFont="1" applyBorder="1" applyAlignment="1">
      <x:alignment horizontal="center" vertical="center"/>
    </x:xf>
    <x:xf numFmtId="170" fontId="15" fillId="0" borderId="39" xfId="8" applyNumberFormat="1" applyFont="1" applyBorder="1" applyAlignment="1">
      <x:alignment horizontal="center" vertical="center"/>
    </x:xf>
    <x:xf numFmtId="170" fontId="15" fillId="0" borderId="42" xfId="8" applyNumberFormat="1" applyFont="1" applyBorder="1" applyAlignment="1">
      <x:alignment horizontal="center" vertical="center"/>
    </x:xf>
    <x:xf numFmtId="0" fontId="4" fillId="0" borderId="0" xfId="0" applyFont="1" applyAlignment="1" applyProtection="1">
      <x:alignment horizontal="left"/>
      <x:protection locked="0"/>
    </x:xf>
    <x:xf numFmtId="0" fontId="4" fillId="0" borderId="0" xfId="0" applyFont="1" applyProtection="1">
      <x:protection locked="0"/>
    </x:xf>
    <x:xf numFmtId="0" fontId="5" fillId="0" borderId="13" xfId="3" applyFont="1" applyBorder="1" applyAlignment="1" applyProtection="1">
      <x:alignment horizontal="center" vertical="center"/>
      <x:protection locked="0"/>
    </x:xf>
    <x:xf numFmtId="0" fontId="4" fillId="0" borderId="0" xfId="3" applyFont="1"/>
    <x:xf numFmtId="14" fontId="4" fillId="0" borderId="0" xfId="0" applyNumberFormat="1" applyFont="1" applyProtection="1">
      <x:protection locked="0"/>
    </x:xf>
    <x:xf numFmtId="0" fontId="4" fillId="0" borderId="1" xfId="0" applyFont="1" applyBorder="1"/>
    <x:xf numFmtId="0" fontId="4" fillId="0" borderId="3" xfId="0" applyFont="1" applyBorder="1"/>
    <x:xf numFmtId="0" fontId="4" fillId="0" borderId="2" xfId="0" applyFont="1" applyBorder="1"/>
    <x:xf numFmtId="0" fontId="4" fillId="0" borderId="18" xfId="0" applyFont="1" applyBorder="1"/>
    <x:xf numFmtId="0" fontId="4" fillId="0" borderId="16" xfId="0" applyFont="1" applyBorder="1"/>
    <x:xf numFmtId="0" fontId="4" fillId="0" borderId="17" xfId="0" applyFont="1" applyBorder="1"/>
    <x:xf numFmtId="0" fontId="4" fillId="0" borderId="15" xfId="0" applyFont="1" applyBorder="1"/>
    <x:xf numFmtId="0" fontId="5" fillId="0" borderId="23" xfId="3" applyFont="1" applyBorder="1" applyAlignment="1" applyProtection="1">
      <x:alignment horizontal="center" vertical="center"/>
      <x:protection locked="0"/>
    </x:xf>
    <x:xf numFmtId="166" fontId="16" fillId="4" borderId="22" xfId="9" applyNumberFormat="1" applyFont="1" applyFill="1" applyBorder="1" applyAlignment="1" applyProtection="1">
      <x:alignment horizontal="center"/>
      <x:protection locked="0"/>
    </x:xf>
    <x:xf numFmtId="0" fontId="9" fillId="0" borderId="0" xfId="0" applyFont="1"/>
    <x:xf numFmtId="166" fontId="16" fillId="0" borderId="0" xfId="9" applyNumberFormat="1" applyFont="1" applyAlignment="1" applyProtection="1">
      <x:alignment horizontal="center"/>
      <x:protection locked="0"/>
    </x:xf>
    <x:xf numFmtId="0" fontId="2" fillId="0" borderId="0" xfId="0" applyFont="1"/>
    <x:xf numFmtId="0" fontId="14" fillId="0" borderId="5" xfId="9" applyFont="1" applyBorder="1"/>
    <x:xf numFmtId="0" fontId="15" fillId="0" borderId="5" xfId="9" applyFont="1" applyBorder="1" applyAlignment="1" applyProtection="1">
      <x:alignment horizontal="left"/>
      <x:protection locked="0"/>
    </x:xf>
    <x:xf numFmtId="0" fontId="15" fillId="0" borderId="0" xfId="9" applyFont="1" applyProtection="1">
      <x:protection locked="0"/>
    </x:xf>
    <x:xf numFmtId="0" fontId="15" fillId="0" borderId="0" xfId="9" applyFont="1"/>
    <x:xf numFmtId="0" fontId="15" fillId="0" borderId="0" xfId="9" applyFont="1" applyAlignment="1" applyProtection="1">
      <x:alignment horizontal="left"/>
      <x:protection locked="0"/>
    </x:xf>
    <x:xf numFmtId="0" fontId="15" fillId="5" borderId="25" xfId="9" applyFont="1" applyFill="1" applyBorder="1"/>
    <x:xf numFmtId="0" fontId="15" fillId="5" borderId="23" xfId="9" applyFont="1" applyFill="1" applyBorder="1"/>
    <x:xf numFmtId="0" fontId="15" fillId="5" borderId="23" xfId="9" applyFont="1" applyFill="1" applyBorder="1" applyAlignment="1">
      <x:alignment horizontal="left"/>
    </x:xf>
    <x:xf numFmtId="0" fontId="15" fillId="5" borderId="26" xfId="9" applyFont="1" applyFill="1" applyBorder="1" applyAlignment="1">
      <x:alignment horizontal="center"/>
    </x:xf>
    <x:xf numFmtId="0" fontId="15" fillId="5" borderId="27" xfId="9" applyFont="1" applyFill="1" applyBorder="1" applyAlignment="1">
      <x:alignment horizontal="right"/>
    </x:xf>
    <x:xf numFmtId="0" fontId="15" fillId="5" borderId="22" xfId="9" applyFont="1" applyFill="1" applyBorder="1"/>
    <x:xf numFmtId="0" fontId="15" fillId="5" borderId="26" xfId="9" applyFont="1" applyFill="1" applyBorder="1" applyAlignment="1">
      <x:alignment horizontal="center" vertical="center" wrapText="1"/>
    </x:xf>
    <x:xf numFmtId="0" fontId="15" fillId="5" borderId="29" xfId="9" applyFont="1" applyFill="1" applyBorder="1" applyAlignment="1">
      <x:alignment horizontal="center" vertical="center" wrapText="1"/>
    </x:xf>
    <x:xf numFmtId="0" fontId="15" fillId="5" borderId="30" xfId="9" applyFont="1" applyFill="1" applyBorder="1" applyAlignment="1">
      <x:alignment horizontal="center" vertical="center"/>
    </x:xf>
    <x:xf numFmtId="0" fontId="15" fillId="5" borderId="31" xfId="9" applyFont="1" applyFill="1" applyBorder="1" applyAlignment="1">
      <x:alignment horizontal="left" vertical="center"/>
    </x:xf>
    <x:xf numFmtId="0" fontId="15" fillId="5" borderId="8" xfId="9" applyFont="1" applyFill="1" applyBorder="1" applyAlignment="1">
      <x:alignment horizontal="left" vertical="center"/>
    </x:xf>
    <x:xf numFmtId="0" fontId="15" fillId="5" borderId="8" xfId="9" applyFont="1" applyFill="1" applyBorder="1" applyAlignment="1">
      <x:alignment horizontal="center"/>
    </x:xf>
    <x:xf numFmtId="0" fontId="15" fillId="5" borderId="5" xfId="9" applyFont="1" applyFill="1" applyBorder="1" applyAlignment="1">
      <x:alignment vertical="center"/>
    </x:xf>
    <x:xf numFmtId="0" fontId="15" fillId="5" borderId="10" xfId="9" applyFont="1" applyFill="1" applyBorder="1"/>
    <x:xf numFmtId="0" fontId="15" fillId="5" borderId="5" xfId="9" applyFont="1" applyFill="1" applyBorder="1"/>
    <x:xf numFmtId="0" fontId="15" fillId="5" borderId="8" xfId="9" applyFont="1" applyFill="1" applyBorder="1" applyAlignment="1">
      <x:alignment horizontal="center" vertical="center" wrapText="1"/>
    </x:xf>
    <x:xf numFmtId="0" fontId="15" fillId="5" borderId="18" xfId="9" applyFont="1" applyFill="1" applyBorder="1" applyAlignment="1">
      <x:alignment horizontal="center" vertical="center" wrapText="1"/>
    </x:xf>
    <x:xf numFmtId="0" fontId="15" fillId="5" borderId="32" xfId="9" applyFont="1" applyFill="1" applyBorder="1" applyAlignment="1">
      <x:alignment horizontal="center" vertical="center"/>
    </x:xf>
    <x:xf numFmtId="0" fontId="15" fillId="5" borderId="33" xfId="9" applyFont="1" applyFill="1" applyBorder="1" applyAlignment="1">
      <x:alignment horizontal="left" vertical="center"/>
    </x:xf>
    <x:xf numFmtId="0" fontId="15" fillId="5" borderId="18" xfId="9" applyFont="1" applyFill="1" applyBorder="1" applyAlignment="1">
      <x:alignment horizontal="left" vertical="center"/>
    </x:xf>
    <x:xf numFmtId="0" fontId="15" fillId="5" borderId="4" xfId="9" applyFont="1" applyFill="1" applyBorder="1" applyAlignment="1">
      <x:alignment horizontal="left" vertical="center"/>
    </x:xf>
    <x:xf numFmtId="0" fontId="15" fillId="5" borderId="16" xfId="9" applyFont="1" applyFill="1" applyBorder="1" applyAlignment="1">
      <x:alignment horizontal="center"/>
    </x:xf>
    <x:xf numFmtId="0" fontId="15" fillId="5" borderId="4" xfId="9" applyFont="1" applyFill="1" applyBorder="1" applyAlignment="1">
      <x:alignment vertical="center"/>
    </x:xf>
    <x:xf numFmtId="0" fontId="15" fillId="5" borderId="4" xfId="9" applyFont="1" applyFill="1" applyBorder="1" applyProtection="1">
      <x:protection locked="0"/>
    </x:xf>
    <x:xf numFmtId="0" fontId="15" fillId="5" borderId="34" xfId="9" applyFont="1" applyFill="1" applyBorder="1" applyAlignment="1">
      <x:alignment horizontal="left" vertical="center"/>
    </x:xf>
    <x:xf numFmtId="0" fontId="15" fillId="5" borderId="35" xfId="9" applyFont="1" applyFill="1" applyBorder="1" applyAlignment="1">
      <x:alignment horizontal="left" vertical="center"/>
    </x:xf>
    <x:xf numFmtId="0" fontId="15" fillId="5" borderId="35" xfId="9" applyFont="1" applyFill="1" applyBorder="1" applyAlignment="1">
      <x:alignment horizontal="left"/>
    </x:xf>
    <x:xf numFmtId="0" fontId="15" fillId="5" borderId="35" xfId="9" applyFont="1" applyFill="1" applyBorder="1" applyAlignment="1">
      <x:alignment horizontal="center"/>
    </x:xf>
    <x:xf numFmtId="0" fontId="15" fillId="5" borderId="24" xfId="9" applyFont="1" applyFill="1" applyBorder="1" applyAlignment="1">
      <x:alignment vertical="center"/>
    </x:xf>
    <x:xf numFmtId="0" fontId="15" fillId="5" borderId="24" xfId="9" applyFont="1" applyFill="1" applyBorder="1" applyProtection="1">
      <x:protection locked="0"/>
    </x:xf>
    <x:xf numFmtId="0" fontId="15" fillId="5" borderId="35" xfId="9" applyFont="1" applyFill="1" applyBorder="1" applyAlignment="1">
      <x:alignment vertical="center" wrapText="1"/>
    </x:xf>
    <x:xf numFmtId="0" fontId="15" fillId="5" borderId="36" xfId="9" applyFont="1" applyFill="1" applyBorder="1" applyAlignment="1">
      <x:alignment vertical="center" wrapText="1"/>
    </x:xf>
    <x:xf numFmtId="0" fontId="15" fillId="5" borderId="37" xfId="9" applyFont="1" applyFill="1" applyBorder="1" applyAlignment="1">
      <x:alignment vertical="center"/>
    </x:xf>
    <x:xf numFmtId="0" fontId="15" fillId="0" borderId="20" xfId="9" applyFont="1" applyBorder="1" applyAlignment="1">
      <x:alignment horizontal="left" vertical="center"/>
    </x:xf>
    <x:xf numFmtId="0" fontId="15" fillId="0" borderId="21" xfId="9" applyFont="1" applyBorder="1" applyAlignment="1">
      <x:alignment horizontal="left" vertical="center"/>
    </x:xf>
    <x:xf numFmtId="0" fontId="15" fillId="0" borderId="21" xfId="9" applyFont="1" applyBorder="1" applyAlignment="1">
      <x:alignment horizontal="left"/>
    </x:xf>
    <x:xf numFmtId="0" fontId="15" fillId="0" borderId="21" xfId="9" applyFont="1" applyBorder="1" applyAlignment="1">
      <x:alignment horizontal="center"/>
    </x:xf>
    <x:xf numFmtId="0" fontId="15" fillId="0" borderId="21" xfId="9" applyFont="1" applyBorder="1" applyAlignment="1">
      <x:alignment vertical="center"/>
    </x:xf>
    <x:xf numFmtId="0" fontId="15" fillId="0" borderId="21" xfId="9" applyFont="1" applyBorder="1"/>
    <x:xf numFmtId="0" fontId="15" fillId="0" borderId="21" xfId="9" applyFont="1" applyBorder="1" applyAlignment="1">
      <x:alignment vertical="center" wrapText="1"/>
    </x:xf>
    <x:xf numFmtId="0" fontId="15" fillId="0" borderId="38" xfId="9" applyFont="1" applyBorder="1" applyAlignment="1">
      <x:alignment vertical="center"/>
    </x:xf>
    <x:xf numFmtId="170" fontId="15" fillId="0" borderId="44" xfId="9" applyNumberFormat="1" applyFont="1" applyBorder="1" applyAlignment="1">
      <x:alignment horizontal="center" vertical="center"/>
    </x:xf>
    <x:xf numFmtId="0" fontId="15" fillId="0" borderId="23" xfId="9" applyFont="1" applyBorder="1"/>
    <x:xf numFmtId="0" fontId="15" fillId="0" borderId="23" xfId="9" applyFont="1" applyBorder="1" applyAlignment="1" applyProtection="1">
      <x:alignment horizontal="left"/>
      <x:protection locked="0"/>
    </x:xf>
    <x:xf numFmtId="0" fontId="15" fillId="0" borderId="23" xfId="9" applyFont="1" applyBorder="1" applyAlignment="1" applyProtection="1">
      <x:alignment horizontal="center"/>
      <x:protection locked="0"/>
    </x:xf>
    <x:xf numFmtId="0" fontId="15" fillId="0" borderId="23" xfId="9" applyFont="1" applyBorder="1" applyProtection="1">
      <x:protection locked="0"/>
    </x:xf>
    <x:xf numFmtId="0" fontId="15" fillId="0" borderId="22" xfId="9" applyFont="1" applyBorder="1"/>
    <x:xf numFmtId="166" fontId="15" fillId="0" borderId="22" xfId="9" applyNumberFormat="1" applyFont="1" applyBorder="1" applyAlignment="1" applyProtection="1">
      <x:alignment horizontal="center"/>
      <x:protection locked="0"/>
    </x:xf>
    <x:xf numFmtId="169" fontId="15" fillId="0" borderId="22" xfId="9" applyNumberFormat="1" applyFont="1" applyBorder="1" applyAlignment="1">
      <x:alignment horizontal="center" vertical="center"/>
    </x:xf>
    <x:xf numFmtId="0" fontId="15" fillId="0" borderId="23" xfId="9" applyFont="1" applyBorder="1" applyAlignment="1">
      <x:alignment horizontal="center" vertical="center"/>
    </x:xf>
    <x:xf numFmtId="170" fontId="15" fillId="0" borderId="40" xfId="9" applyNumberFormat="1" applyFont="1" applyBorder="1" applyAlignment="1">
      <x:alignment horizontal="center"/>
    </x:xf>
    <x:xf numFmtId="0" fontId="15" fillId="0" borderId="39" xfId="9" applyFont="1" applyBorder="1" applyAlignment="1">
      <x:alignment horizontal="center" vertical="center"/>
    </x:xf>
    <x:xf numFmtId="0" fontId="15" fillId="0" borderId="11" xfId="9" applyFont="1" applyBorder="1" applyAlignment="1" applyProtection="1">
      <x:alignment horizontal="left"/>
      <x:protection locked="0"/>
    </x:xf>
    <x:xf numFmtId="0" fontId="15" fillId="0" borderId="0" xfId="9" applyFont="1" applyAlignment="1" applyProtection="1">
      <x:alignment horizontal="center"/>
      <x:protection locked="0"/>
    </x:xf>
    <x:xf numFmtId="0" fontId="15" fillId="0" borderId="15" xfId="9" applyFont="1" applyBorder="1" applyProtection="1">
      <x:protection locked="0"/>
    </x:xf>
    <x:xf numFmtId="0" fontId="15" fillId="0" borderId="5" xfId="9" applyFont="1" applyBorder="1"/>
    <x:xf numFmtId="166" fontId="15" fillId="0" borderId="5" xfId="9" applyNumberFormat="1" applyFont="1" applyBorder="1" applyAlignment="1" applyProtection="1">
      <x:alignment horizontal="center"/>
      <x:protection locked="0"/>
    </x:xf>
    <x:xf numFmtId="169" fontId="15" fillId="0" borderId="5" xfId="9" applyNumberFormat="1" applyFont="1" applyBorder="1" applyAlignment="1">
      <x:alignment horizontal="center" vertical="center"/>
    </x:xf>
    <x:xf numFmtId="0" fontId="15" fillId="0" borderId="0" xfId="9" applyFont="1" applyAlignment="1">
      <x:alignment horizontal="center" vertical="center"/>
    </x:xf>
    <x:xf numFmtId="166" fontId="15" fillId="0" borderId="41" xfId="9" applyNumberFormat="1" applyFont="1" applyBorder="1" applyAlignment="1">
      <x:alignment horizontal="center" vertical="center"/>
    </x:xf>
    <x:xf numFmtId="170" fontId="15" fillId="0" borderId="39" xfId="9" applyNumberFormat="1" applyFont="1" applyBorder="1" applyAlignment="1">
      <x:alignment horizontal="center" vertical="center"/>
    </x:xf>
    <x:xf numFmtId="170" fontId="15" fillId="0" borderId="41" xfId="9" applyNumberFormat="1" applyFont="1" applyBorder="1" applyAlignment="1">
      <x:alignment horizontal="center" vertical="center"/>
    </x:xf>
    <x:xf numFmtId="170" fontId="15" fillId="0" borderId="42" xfId="9" applyNumberFormat="1" applyFont="1" applyBorder="1" applyAlignment="1">
      <x:alignment horizontal="center" vertical="center"/>
    </x:xf>
    <x:xf numFmtId="0" fontId="15" fillId="0" borderId="21" xfId="9" applyFont="1" applyBorder="1" applyAlignment="1" applyProtection="1">
      <x:alignment horizontal="left"/>
      <x:protection locked="0"/>
    </x:xf>
    <x:xf numFmtId="0" fontId="15" fillId="0" borderId="21" xfId="9" applyFont="1" applyBorder="1" applyAlignment="1" applyProtection="1">
      <x:alignment horizontal="center"/>
      <x:protection locked="0"/>
    </x:xf>
    <x:xf numFmtId="0" fontId="15" fillId="0" borderId="21" xfId="9" applyFont="1" applyBorder="1" applyProtection="1">
      <x:protection locked="0"/>
    </x:xf>
    <x:xf numFmtId="0" fontId="15" fillId="0" borderId="24" xfId="9" applyFont="1" applyBorder="1"/>
    <x:xf numFmtId="169" fontId="15" fillId="0" borderId="24" xfId="9" applyNumberFormat="1" applyFont="1" applyBorder="1" applyAlignment="1">
      <x:alignment horizontal="center" vertical="center"/>
    </x:xf>
    <x:xf numFmtId="0" fontId="15" fillId="0" borderId="21" xfId="9" applyFont="1" applyBorder="1" applyAlignment="1">
      <x:alignment horizontal="center" vertical="center"/>
    </x:xf>
    <x:xf numFmtId="170" fontId="15" fillId="0" borderId="38" xfId="9" applyNumberFormat="1" applyFont="1" applyBorder="1" applyAlignment="1">
      <x:alignment horizontal="center" vertical="center"/>
    </x:xf>
    <x:xf numFmtId="0" fontId="4" fillId="0" borderId="9" xfId="0" applyFont="1" applyBorder="1" applyAlignment="1" applyProtection="1">
      <x:alignment horizontal="left"/>
      <x:protection locked="0"/>
    </x:xf>
    <x:xf numFmtId="0" fontId="4" fillId="0" borderId="9" xfId="3" applyFont="1" applyBorder="1" applyAlignment="1">
      <x:alignment horizontal="left"/>
    </x:xf>
    <x:xf numFmtId="0" fontId="3" fillId="0" borderId="0" xfId="3" applyFont="1" applyAlignment="1">
      <x:alignment horizontal="left" vertical="center"/>
    </x:xf>
    <x:xf numFmtId="0" fontId="5" fillId="0" borderId="0" xfId="3" applyFont="1" applyAlignment="1" applyProtection="1">
      <x:alignment horizontal="center" vertical="center"/>
      <x:protection locked="0"/>
    </x:xf>
    <x:xf numFmtId="0" fontId="4" fillId="0" borderId="0" xfId="0" applyFont="1" applyAlignment="1">
      <x:alignment horizontal="left"/>
    </x:xf>
    <x:xf numFmtId="167" fontId="4" fillId="0" borderId="5" xfId="3" applyNumberFormat="1" applyFont="1" applyBorder="1" applyAlignment="1">
      <x:alignment horizontal="center" vertical="center"/>
    </x:xf>
    <x:xf numFmtId="167" fontId="4" fillId="2" borderId="5" xfId="3" applyNumberFormat="1" applyFont="1" applyFill="1" applyBorder="1" applyAlignment="1" applyProtection="1">
      <x:alignment horizontal="center" vertical="center"/>
      <x:protection locked="0"/>
    </x:xf>
    <x:xf numFmtId="168" fontId="4" fillId="0" borderId="5" xfId="3" applyNumberFormat="1" applyFont="1" applyBorder="1" applyAlignment="1">
      <x:alignment horizontal="center" vertical="center"/>
    </x:xf>
    <x:xf numFmtId="0" fontId="4" fillId="0" borderId="5" xfId="0" applyFont="1" applyBorder="1"/>
    <x:xf numFmtId="165" fontId="4" fillId="2" borderId="5" xfId="0" applyNumberFormat="1" applyFont="1" applyFill="1" applyBorder="1" applyProtection="1">
      <x:protection locked="0"/>
    </x:xf>
    <x:xf numFmtId="165" fontId="4" fillId="0" borderId="4" xfId="0" applyNumberFormat="1" applyFont="1" applyBorder="1" applyAlignment="1">
      <x:alignment horizontal="left"/>
    </x:xf>
    <x:xf numFmtId="166" fontId="4" fillId="0" borderId="19" xfId="0" applyNumberFormat="1" applyFont="1" applyBorder="1" applyAlignment="1">
      <x:alignment horizontal="left"/>
    </x:xf>
    <x:xf numFmtId="0" fontId="4" fillId="0" borderId="11" xfId="2" applyFont="1" applyBorder="1" applyAlignment="1" applyProtection="1">
      <x:alignment horizontal="left"/>
      <x:protection locked="0"/>
    </x:xf>
    <x:xf numFmtId="0" fontId="3" fillId="0" borderId="12" xfId="3" applyFont="1" applyBorder="1" applyAlignment="1">
      <x:alignment horizontal="left" vertical="center"/>
    </x:xf>
    <x:xf numFmtId="0" fontId="3" fillId="0" borderId="14" xfId="3" applyFont="1" applyBorder="1" applyAlignment="1">
      <x:alignment horizontal="left" vertical="center"/>
    </x:xf>
    <x:xf numFmtId="0" fontId="3" fillId="0" borderId="13" xfId="3" applyFont="1" applyBorder="1" applyAlignment="1">
      <x:alignment horizontal="left" vertical="center"/>
    </x:xf>
    <x:xf numFmtId="0" fontId="3" fillId="0" borderId="12" xfId="3" applyFont="1" applyBorder="1" applyAlignment="1">
      <x:alignment vertical="center"/>
    </x:xf>
    <x:xf numFmtId="172" fontId="17" fillId="0" borderId="14" xfId="4" applyNumberFormat="1" applyFont="1" applyBorder="1" applyAlignment="1">
      <x:alignment vertical="center"/>
    </x:xf>
    <x:xf numFmtId="0" fontId="17" fillId="0" borderId="19" xfId="3" applyFont="1" applyBorder="1" applyAlignment="1">
      <x:alignment vertical="center"/>
    </x:xf>
    <x:xf numFmtId="0" fontId="4" fillId="0" borderId="6" xfId="3" applyFont="1" applyBorder="1" applyAlignment="1">
      <x:alignment horizontal="left" vertical="center"/>
    </x:xf>
    <x:xf numFmtId="0" fontId="4" fillId="0" borderId="9" xfId="3" applyFont="1" applyBorder="1" applyAlignment="1">
      <x:alignment horizontal="left" vertical="center"/>
    </x:xf>
    <x:xf numFmtId="0" fontId="4" fillId="0" borderId="7" xfId="3" applyFont="1" applyBorder="1" applyAlignment="1">
      <x:alignment horizontal="left" vertical="center"/>
    </x:xf>
    <x:xf numFmtId="167" fontId="4" fillId="0" borderId="6" xfId="3" applyNumberFormat="1" applyFont="1" applyBorder="1" applyAlignment="1">
      <x:alignment horizontal="left"/>
    </x:xf>
    <x:xf numFmtId="167" fontId="4" fillId="0" borderId="9" xfId="3" applyNumberFormat="1" applyFont="1" applyBorder="1" applyAlignment="1">
      <x:alignment horizontal="left"/>
    </x:xf>
    <x:xf numFmtId="167" fontId="4" fillId="0" borderId="7" xfId="3" applyNumberFormat="1" applyFont="1" applyBorder="1" applyAlignment="1">
      <x:alignment horizontal="left"/>
    </x:xf>
    <x:xf numFmtId="0" fontId="4" fillId="0" borderId="5" xfId="3" applyFont="1" applyBorder="1" applyAlignment="1">
      <x:alignment horizontal="center"/>
    </x:xf>
    <x:xf numFmtId="0" fontId="4" fillId="0" borderId="9" xfId="0" applyFont="1" applyBorder="1" applyAlignment="1" applyProtection="1">
      <x:alignment horizontal="left"/>
      <x:protection locked="0"/>
    </x:xf>
    <x:xf numFmtId="0" fontId="4" fillId="0" borderId="6" xfId="3" applyFont="1" applyBorder="1" applyAlignment="1">
      <x:alignment horizontal="left"/>
    </x:xf>
    <x:xf numFmtId="0" fontId="4" fillId="0" borderId="9" xfId="3" applyFont="1" applyBorder="1" applyAlignment="1">
      <x:alignment horizontal="left"/>
    </x:xf>
    <x:xf numFmtId="0" fontId="4" fillId="0" borderId="7" xfId="3" applyFont="1" applyBorder="1" applyAlignment="1">
      <x:alignment horizontal="left"/>
    </x:xf>
    <x:xf numFmtId="167" fontId="4" fillId="0" borderId="6" xfId="3" applyNumberFormat="1" applyFont="1" applyBorder="1" applyAlignment="1">
      <x:alignment horizontal="left" vertical="center"/>
    </x:xf>
    <x:xf numFmtId="167" fontId="4" fillId="0" borderId="9" xfId="3" applyNumberFormat="1" applyFont="1" applyBorder="1" applyAlignment="1">
      <x:alignment horizontal="left" vertical="center"/>
    </x:xf>
    <x:xf numFmtId="167" fontId="4" fillId="0" borderId="7" xfId="3" applyNumberFormat="1" applyFont="1" applyBorder="1" applyAlignment="1">
      <x:alignment horizontal="left" vertical="center"/>
    </x:xf>
    <x:xf numFmtId="0" fontId="4" fillId="0" borderId="9" xfId="0" applyFont="1" applyBorder="1" applyAlignment="1">
      <x:alignment horizontal="left"/>
    </x:xf>
    <x:xf numFmtId="0" fontId="4" fillId="0" borderId="11" xfId="2" applyFont="1" applyBorder="1" applyAlignment="1" applyProtection="1">
      <x:alignment horizontal="left"/>
      <x:protection locked="0"/>
    </x:xf>
    <x:xf numFmtId="0" fontId="3" fillId="0" borderId="0" xfId="0" applyFont="1" applyAlignment="1">
      <x:alignment horizontal="left"/>
    </x:xf>
    <x:xf numFmtId="0" fontId="3" fillId="0" borderId="12" xfId="3" applyFont="1" applyBorder="1" applyAlignment="1">
      <x:alignment horizontal="left" vertical="center"/>
    </x:xf>
    <x:xf numFmtId="0" fontId="3" fillId="0" borderId="14" xfId="3" applyFont="1" applyBorder="1" applyAlignment="1">
      <x:alignment horizontal="left" vertical="center"/>
    </x:xf>
    <x:xf numFmtId="0" fontId="3" fillId="0" borderId="13" xfId="3" applyFont="1" applyBorder="1" applyAlignment="1">
      <x:alignment horizontal="left" vertical="center"/>
    </x:xf>
    <x:xf numFmtId="0" fontId="3" fillId="0" borderId="0" xfId="0" applyFont="1" applyAlignment="1">
      <x:alignment horizontal="left" vertical="center"/>
    </x:xf>
    <x:xf numFmtId="0" fontId="4" fillId="0" borderId="11" xfId="3" applyFont="1" applyBorder="1" applyAlignment="1">
      <x:alignment horizontal="left"/>
    </x:xf>
    <x:xf numFmtId="0" fontId="4" fillId="0" borderId="11" xfId="0" applyFont="1" applyBorder="1" applyAlignment="1" applyProtection="1">
      <x:alignment horizontal="left"/>
      <x:protection locked="0"/>
    </x:xf>
    <x:xf numFmtId="0" fontId="3" fillId="0" borderId="12" xfId="0" applyFont="1" applyBorder="1" applyAlignment="1">
      <x:alignment vertical="center"/>
    </x:xf>
    <x:xf numFmtId="0" fontId="3" fillId="0" borderId="14" xfId="0" applyFont="1" applyBorder="1" applyAlignment="1">
      <x:alignment vertical="center"/>
    </x:xf>
    <x:xf numFmtId="0" fontId="3" fillId="0" borderId="13" xfId="0" applyFont="1" applyBorder="1" applyAlignment="1">
      <x:alignment vertical="center"/>
    </x:xf>
    <x:xf numFmtId="0" fontId="4" fillId="0" borderId="1" xfId="0" applyFont="1" applyBorder="1" applyAlignment="1" applyProtection="1">
      <x:alignment horizontal="left" vertical="top"/>
      <x:protection locked="0"/>
    </x:xf>
    <x:xf numFmtId="0" fontId="4" fillId="0" borderId="3" xfId="0" applyFont="1" applyBorder="1" applyAlignment="1" applyProtection="1">
      <x:alignment horizontal="left" vertical="top"/>
      <x:protection locked="0"/>
    </x:xf>
    <x:xf numFmtId="0" fontId="4" fillId="0" borderId="2" xfId="0" applyFont="1" applyBorder="1" applyAlignment="1" applyProtection="1">
      <x:alignment horizontal="left" vertical="top"/>
      <x:protection locked="0"/>
    </x:xf>
    <x:xf numFmtId="0" fontId="4" fillId="0" borderId="18" xfId="0" applyFont="1" applyBorder="1" applyAlignment="1" applyProtection="1">
      <x:alignment horizontal="left" vertical="top"/>
      <x:protection locked="0"/>
    </x:xf>
    <x:xf numFmtId="0" fontId="4" fillId="0" borderId="0" xfId="0" applyFont="1" applyAlignment="1" applyProtection="1">
      <x:alignment horizontal="left" vertical="top"/>
      <x:protection locked="0"/>
    </x:xf>
    <x:xf numFmtId="0" fontId="4" fillId="0" borderId="16" xfId="0" applyFont="1" applyBorder="1" applyAlignment="1" applyProtection="1">
      <x:alignment horizontal="left" vertical="top"/>
      <x:protection locked="0"/>
    </x:xf>
    <x:xf numFmtId="0" fontId="4" fillId="0" borderId="17" xfId="0" applyFont="1" applyBorder="1" applyAlignment="1" applyProtection="1">
      <x:alignment horizontal="left" vertical="top"/>
      <x:protection locked="0"/>
    </x:xf>
    <x:xf numFmtId="0" fontId="4" fillId="0" borderId="11" xfId="0" applyFont="1" applyBorder="1" applyAlignment="1" applyProtection="1">
      <x:alignment horizontal="left" vertical="top"/>
      <x:protection locked="0"/>
    </x:xf>
    <x:xf numFmtId="0" fontId="4" fillId="0" borderId="15" xfId="0" applyFont="1" applyBorder="1" applyAlignment="1" applyProtection="1">
      <x:alignment horizontal="left" vertical="top"/>
      <x:protection locked="0"/>
    </x:xf>
    <x:xf numFmtId="0" fontId="4" fillId="0" borderId="11" xfId="0" applyFont="1" applyBorder="1" applyAlignment="1">
      <x:alignment horizontal="left"/>
    </x:xf>
    <x:xf numFmtId="0" fontId="5" fillId="0" borderId="3" xfId="0" applyFont="1" applyBorder="1" applyAlignment="1">
      <x:alignment horizontal="right"/>
    </x:xf>
    <x:xf numFmtId="0" fontId="4" fillId="0" borderId="0" xfId="0" applyFont="1" applyAlignment="1" applyProtection="1">
      <x:alignment horizontal="left"/>
      <x:protection locked="0"/>
    </x:xf>
    <x:xf numFmtId="0" fontId="4" fillId="0" borderId="0" xfId="0" applyFont="1" applyAlignment="1">
      <x:alignment horizontal="left"/>
    </x:xf>
    <x:xf numFmtId="0" fontId="0" fillId="0" borderId="5" xfId="0" applyBorder="1"/>
    <x:xf numFmtId="14" fontId="0" fillId="0" borderId="5" xfId="0" applyNumberFormat="1" applyBorder="1" applyAlignment="1">
      <x:alignment horizontal="left"/>
    </x:xf>
    <x:xf numFmtId="0" fontId="1" fillId="0" borderId="5" xfId="9" applyBorder="1"/>
    <x:xf numFmtId="14" fontId="1" fillId="0" borderId="5" xfId="9" applyNumberFormat="1" applyBorder="1" applyAlignment="1">
      <x:alignment horizontal="left"/>
    </x:xf>
    <x:xf numFmtId="0" fontId="2" fillId="2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16" fillId="4" borderId="2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0" hidden="0"/>
    </x:xf>
    <x:xf numFmtId="0" fontId="6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4" fillId="0" borderId="1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0" hidden="0"/>
    </x:xf>
    <x:xf numFmtId="0" fontId="4" fillId="7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167" fontId="4" fillId="2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65" fontId="4" fillId="2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0" fontId="15" fillId="5" borderId="2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2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23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5" fillId="5" borderId="26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5" fillId="5" borderId="27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5" fillId="5" borderId="2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28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2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5" borderId="2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5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5" borderId="3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8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8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5" fillId="5" borderId="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5" borderId="10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5" borderId="1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5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5" borderId="3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18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16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5" fillId="5" borderId="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5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3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3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35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5" fillId="5" borderId="35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5" fillId="5" borderId="2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5" borderId="2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35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5" fillId="5" borderId="36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5" fillId="5" borderId="3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6" fontId="0" fillId="6" borderId="2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0" fontId="15" fillId="5" borderId="2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</x:cellXfs>
  <x:cellStyles count="10">
    <x:cellStyle name="Dezimal 2" xfId="5" xr:uid="{00000000-0005-0000-0000-000000000000}"/>
    <x:cellStyle name="Dezimal 2 2" xfId="6" xr:uid="{00000000-0005-0000-0000-000001000000}"/>
    <x:cellStyle name="Normal" xfId="0" builtinId="0"/>
    <x:cellStyle name="Normal 2" xfId="3" xr:uid="{00000000-0005-0000-0000-000003000000}"/>
    <x:cellStyle name="Normal 3" xfId="7" xr:uid="{00000000-0005-0000-0000-000004000000}"/>
    <x:cellStyle name="Normal 4" xfId="8" xr:uid="{00000000-0005-0000-0000-000005000000}"/>
    <x:cellStyle name="Normal 4 2" xfId="9" xr:uid="{00000000-0005-0000-0000-000006000000}"/>
    <x:cellStyle name="Standard 2" xfId="2" xr:uid="{00000000-0005-0000-0000-000007000000}"/>
    <x:cellStyle name="Tusental" xfId="1" builtinId="3"/>
    <x:cellStyle name="Tusental 2" xfId="4" xr:uid="{00000000-0005-0000-0000-000009000000}"/>
  </x:cellStyles>
  <x:dxfs count="5">
    <x:dxf>
      <x:fill>
        <x:patternFill patternType="solid">
          <x:fgColor auto="1"/>
          <x:bgColor rgb="FF00FF00"/>
        </x:patternFill>
      </x:fill>
    </x:dxf>
    <x:dxf>
      <x:font>
        <x:color rgb="FF9C0006"/>
      </x:font>
      <x:fill>
        <x:patternFill patternType="solid">
          <x:fgColor auto="1"/>
          <x:bgColor rgb="FFFFC7CE"/>
        </x:patternFill>
      </x:fill>
    </x:dxf>
    <x:dxf>
      <x:font>
        <x:color theme="0"/>
      </x:font>
      <x:fill>
        <x:patternFill patternType="solid">
          <x:fgColor auto="1"/>
          <x:bgColor theme="0"/>
        </x:patternFill>
      </x:fill>
    </x:dxf>
    <x:dxf>
      <x:fill>
        <x:patternFill patternType="solid">
          <x:fgColor auto="1"/>
          <x:bgColor rgb="FFE2EBD5"/>
        </x:patternFill>
      </x:fill>
    </x:dxf>
    <x:dxf>
      <x:fill>
        <x:patternFill patternType="solid">
          <x:fgColor auto="1"/>
          <x:bgColor theme="9" tint="0.79998168889431442"/>
        </x:patternFill>
      </x:fill>
    </x:dxf>
  </x:dxfs>
  <x:tableStyles count="0" defaultTableStyle="TableStyleMedium9" defaultPivotStyle="PivotStyleLight16"/>
  <x:colors>
    <x:mruColors>
      <x:color rgb="FFE2EBD5"/>
      <x:color rgb="FFFFFFCC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Tr&#228;h&#228;stcup\Protokoll\Tr&#228;h&#228;st_protokoll_sv&#229;r%20klass%20lag_senio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rmation"/>
      <sheetName val="Häst, lag"/>
      <sheetName val="Lag grund A"/>
      <sheetName val="Lag kür tekn sr"/>
      <sheetName val="Lag kür art"/>
      <sheetName val="2 domare, seniorlag"/>
      <sheetName val="3 domare, seniorlag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4.bin" Id="rId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5.bin" Id="rId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6.bin" Id="rId1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tabColor rgb="FFFFFF00"/>
    <x:outlinePr summaryBelow="1" summaryRight="1"/>
  </x:sheetPr>
  <x:dimension ref="A1:F51"/>
  <x:sheetViews>
    <x:sheetView workbookViewId="0">
      <x:selection activeCell="D1" sqref="D1"/>
    </x:sheetView>
  </x:sheetViews>
  <x:sheetFormatPr defaultColWidth="9.199219" defaultRowHeight="12.75" x14ac:dyDescent="0.35"/>
  <x:cols>
    <x:col min="1" max="1" width="18" style="21" customWidth="1"/>
    <x:col min="2" max="2" width="17.265625" style="21" customWidth="1"/>
    <x:col min="3" max="4" width="15.730469" style="21" customWidth="1"/>
    <x:col min="5" max="5" width="19.199219" style="21" customWidth="1"/>
    <x:col min="6" max="18" width="15.730469" style="21" customWidth="1"/>
    <x:col min="19" max="16384" width="9.199219" style="21" customWidth="1"/>
  </x:cols>
  <x:sheetData>
    <x:row r="1" spans="1:18" s="24" customFormat="1" ht="17.65" customHeight="1" x14ac:dyDescent="0.5">
      <x:c r="A1" s="24" t="s">
        <x:v>0</x:v>
      </x:c>
      <x:c r="B1" s="0" t="s"/>
      <x:c r="C1" s="0" t="s"/>
      <x:c r="D1" s="0" t="s"/>
      <x:c r="E1" s="0" t="s"/>
      <x:c r="F1" s="0" t="s"/>
      <x:c r="G1" s="0" t="s"/>
      <x:c r="H1" s="0" t="s"/>
      <x:c r="I1" s="0" t="s"/>
      <x:c r="J1" s="0" t="s"/>
      <x:c r="K1" s="0" t="s"/>
      <x:c r="L1" s="0" t="s"/>
      <x:c r="M1" s="0" t="s"/>
      <x:c r="N1" s="0" t="s"/>
      <x:c r="O1" s="0" t="s"/>
      <x:c r="P1" s="0" t="s"/>
      <x:c r="Q1" s="0" t="s"/>
      <x:c r="R1" s="0" t="s"/>
    </x:row>
    <x:row r="3" spans="1:18" customFormat="1" ht="13.15" customHeight="1" x14ac:dyDescent="0.4">
      <x:c r="A3" s="23" t="s">
        <x:v>1</x:v>
      </x:c>
    </x:row>
    <x:row r="4" spans="1:18" customFormat="1" ht="13.15" customHeight="1" x14ac:dyDescent="0.4">
      <x:c r="A4" s="23" t="s"/>
    </x:row>
    <x:row r="5" spans="1:18" customFormat="1" ht="21.5" customHeight="1" x14ac:dyDescent="0.35">
      <x:c r="A5" s="21" t="s">
        <x:v>2</x:v>
      </x:c>
    </x:row>
    <x:row r="6" spans="1:18" customFormat="1" ht="21.5" customHeight="1" x14ac:dyDescent="0.4">
      <x:c r="A6" s="21" t="s">
        <x:v>3</x:v>
      </x:c>
      <x:c r="B6" s="23" t="s"/>
      <x:c r="C6" s="23" t="s"/>
      <x:c r="D6" s="23" t="s"/>
      <x:c r="E6" s="23" t="s"/>
    </x:row>
    <x:row r="7" spans="1:18" customFormat="1" ht="21.5" customHeight="1" x14ac:dyDescent="0.45">
      <x:c r="A7" s="0" t="s"/>
      <x:c r="B7" s="0" t="s"/>
      <x:c r="C7" s="0" t="s"/>
      <x:c r="D7" s="0" t="s"/>
      <x:c r="E7" s="0" t="s"/>
      <x:c r="F7" s="0" t="s"/>
    </x:row>
    <x:row r="8" spans="1:18" customFormat="1" ht="21.5" customHeight="1" thickBot="1" x14ac:dyDescent="0.4">
      <x:c r="A8" s="21" t="s">
        <x:v>4</x:v>
      </x:c>
      <x:c r="E8" s="272" t="s"/>
    </x:row>
    <x:row r="9" spans="1:18" customFormat="1" ht="21.5" customHeight="1" x14ac:dyDescent="0.5">
      <x:c r="A9" s="21" t="s">
        <x:v>5</x:v>
      </x:c>
      <x:c r="E9" s="273" t="s"/>
      <x:c r="F9" s="20" t="s"/>
    </x:row>
    <x:row r="10" spans="1:18" customFormat="1" ht="21.5" customHeight="1" x14ac:dyDescent="0.5">
      <x:c r="A10" s="21" t="s">
        <x:v>6</x:v>
      </x:c>
      <x:c r="E10" s="133" t="s"/>
      <x:c r="F10" s="20" t="s"/>
    </x:row>
    <x:row r="11" spans="1:18" customFormat="1" ht="21.5" customHeight="1" x14ac:dyDescent="0.45">
      <x:c r="A11" s="21" t="s">
        <x:v>7</x:v>
      </x:c>
      <x:c r="B11" s="23" t="s"/>
      <x:c r="C11" s="0" t="s"/>
      <x:c r="D11" s="0" t="s"/>
      <x:c r="E11" s="0" t="s"/>
      <x:c r="F11" s="0" t="s"/>
    </x:row>
    <x:row r="12" spans="1:18" customFormat="1" ht="15.5" customHeight="1" x14ac:dyDescent="0.35"/>
    <x:row r="15" spans="1:18" s="20" customFormat="1" ht="17.25" customHeight="1" x14ac:dyDescent="0.45">
      <x:c r="A15" s="20" t="s">
        <x:v>8</x:v>
      </x:c>
    </x:row>
    <x:row r="16" spans="1:18" s="23" customFormat="1" ht="13.15" customHeight="1" x14ac:dyDescent="0.4">
      <x:c r="B16" s="274" t="s">
        <x:v>9</x:v>
      </x:c>
      <x:c r="C16" s="274" t="s">
        <x:v>10</x:v>
      </x:c>
      <x:c r="D16" s="274" t="s">
        <x:v>11</x:v>
      </x:c>
      <x:c r="E16" s="275" t="s"/>
    </x:row>
    <x:row r="17" spans="1:18" x14ac:dyDescent="0.35">
      <x:c r="A17" s="275" t="s">
        <x:v>12</x:v>
      </x:c>
      <x:c r="B17" s="275" t="s">
        <x:v>9</x:v>
      </x:c>
      <x:c r="C17" s="275" t="s">
        <x:v>13</x:v>
      </x:c>
      <x:c r="D17" s="275" t="s">
        <x:v>14</x:v>
      </x:c>
      <x:c r="E17" s="275" t="s"/>
    </x:row>
    <x:row r="18" spans="1:18" x14ac:dyDescent="0.35"/>
    <x:row r="19" spans="1:18" x14ac:dyDescent="0.35">
      <x:c r="A19" s="21" t="s">
        <x:v>15</x:v>
      </x:c>
    </x:row>
    <x:row r="20" spans="1:18" x14ac:dyDescent="0.35"/>
    <x:row r="21" spans="1:18" x14ac:dyDescent="0.35">
      <x:c r="A21" s="21" t="s">
        <x:v>16</x:v>
      </x:c>
    </x:row>
    <x:row r="22" spans="1:18" x14ac:dyDescent="0.35">
      <x:c r="A22" s="21" t="s">
        <x:v>17</x:v>
      </x:c>
    </x:row>
    <x:row r="23" spans="1:18" x14ac:dyDescent="0.35"/>
    <x:row r="25" spans="1:18" customFormat="1" ht="17.25" customHeight="1" x14ac:dyDescent="0.45">
      <x:c r="A25" s="20" t="s">
        <x:v>18</x:v>
      </x:c>
    </x:row>
    <x:row r="26" spans="1:18" customFormat="1" ht="15" customHeight="1" x14ac:dyDescent="0.35">
      <x:c r="A26" s="21" t="s">
        <x:v>19</x:v>
      </x:c>
    </x:row>
    <x:row r="27" spans="1:18" customFormat="1" ht="17.65" customHeight="1" x14ac:dyDescent="0.35">
      <x:c r="A27" s="21" t="s">
        <x:v>20</x:v>
      </x:c>
    </x:row>
    <x:row r="29" spans="1:18" customFormat="1" ht="13.15" customHeight="1" x14ac:dyDescent="0.4">
      <x:c r="A29" s="25" t="s">
        <x:v>21</x:v>
      </x:c>
      <x:c r="B29" s="25" t="s">
        <x:v>22</x:v>
      </x:c>
      <x:c r="C29" s="25" t="s">
        <x:v>23</x:v>
      </x:c>
    </x:row>
    <x:row r="30" spans="1:18" x14ac:dyDescent="0.35">
      <x:c r="A30" s="22" t="s">
        <x:v>24</x:v>
      </x:c>
      <x:c r="B30" s="22" t="s">
        <x:v>24</x:v>
      </x:c>
      <x:c r="C30" s="22" t="s"/>
    </x:row>
    <x:row r="31" spans="1:18" x14ac:dyDescent="0.35">
      <x:c r="A31" s="22" t="s">
        <x:v>10</x:v>
      </x:c>
      <x:c r="B31" s="22" t="s">
        <x:v>25</x:v>
      </x:c>
      <x:c r="C31" s="22" t="s"/>
    </x:row>
    <x:row r="32" spans="1:18" x14ac:dyDescent="0.35">
      <x:c r="A32" s="22" t="s">
        <x:v>26</x:v>
      </x:c>
      <x:c r="B32" s="22" t="s"/>
      <x:c r="C32" s="22" t="s">
        <x:v>27</x:v>
      </x:c>
    </x:row>
    <x:row r="35" spans="1:18" customFormat="1" ht="13.15" customHeight="1" x14ac:dyDescent="0.4">
      <x:c r="A35" s="25" t="s">
        <x:v>28</x:v>
      </x:c>
      <x:c r="B35" s="25" t="s">
        <x:v>22</x:v>
      </x:c>
      <x:c r="C35" s="25" t="s">
        <x:v>29</x:v>
      </x:c>
      <x:c r="D35" s="25" t="s">
        <x:v>23</x:v>
      </x:c>
    </x:row>
    <x:row r="36" spans="1:18" x14ac:dyDescent="0.35">
      <x:c r="A36" s="22" t="s">
        <x:v>24</x:v>
      </x:c>
      <x:c r="B36" s="22" t="s">
        <x:v>30</x:v>
      </x:c>
      <x:c r="C36" s="22" t="s">
        <x:v>30</x:v>
      </x:c>
      <x:c r="D36" s="22" t="s">
        <x:v>31</x:v>
      </x:c>
    </x:row>
    <x:row r="37" spans="1:18" x14ac:dyDescent="0.35">
      <x:c r="A37" s="22" t="s">
        <x:v>10</x:v>
      </x:c>
      <x:c r="B37" s="22" t="s">
        <x:v>25</x:v>
      </x:c>
      <x:c r="C37" s="22" t="s">
        <x:v>25</x:v>
      </x:c>
      <x:c r="D37" s="22" t="s">
        <x:v>32</x:v>
      </x:c>
    </x:row>
    <x:row r="38" spans="1:18" x14ac:dyDescent="0.35">
      <x:c r="A38" s="22" t="s">
        <x:v>26</x:v>
      </x:c>
      <x:c r="B38" s="22" t="s"/>
      <x:c r="C38" s="22" t="s"/>
      <x:c r="D38" s="22" t="s">
        <x:v>33</x:v>
      </x:c>
    </x:row>
    <x:row r="41" spans="1:18" customFormat="1" ht="13.15" customHeight="1" x14ac:dyDescent="0.4">
      <x:c r="A41" s="25" t="s">
        <x:v>34</x:v>
      </x:c>
      <x:c r="B41" s="25" t="s">
        <x:v>22</x:v>
      </x:c>
      <x:c r="C41" s="25" t="s">
        <x:v>29</x:v>
      </x:c>
      <x:c r="D41" s="25" t="s">
        <x:v>35</x:v>
      </x:c>
      <x:c r="E41" s="25" t="s">
        <x:v>23</x:v>
      </x:c>
    </x:row>
    <x:row r="42" spans="1:18" x14ac:dyDescent="0.35">
      <x:c r="A42" s="22" t="s">
        <x:v>24</x:v>
      </x:c>
      <x:c r="B42" s="22" t="s">
        <x:v>30</x:v>
      </x:c>
      <x:c r="C42" s="22" t="s">
        <x:v>30</x:v>
      </x:c>
      <x:c r="D42" s="22" t="s">
        <x:v>30</x:v>
      </x:c>
      <x:c r="E42" s="22" t="s">
        <x:v>31</x:v>
      </x:c>
    </x:row>
    <x:row r="43" spans="1:18" x14ac:dyDescent="0.35">
      <x:c r="A43" s="22" t="s">
        <x:v>10</x:v>
      </x:c>
      <x:c r="B43" s="22" t="s">
        <x:v>25</x:v>
      </x:c>
      <x:c r="C43" s="22" t="s">
        <x:v>25</x:v>
      </x:c>
      <x:c r="D43" s="22" t="s">
        <x:v>25</x:v>
      </x:c>
      <x:c r="E43" s="22" t="s">
        <x:v>32</x:v>
      </x:c>
    </x:row>
    <x:row r="44" spans="1:18" x14ac:dyDescent="0.35">
      <x:c r="A44" s="22" t="s"/>
      <x:c r="B44" s="22" t="s"/>
      <x:c r="C44" s="22" t="s"/>
      <x:c r="D44" s="22" t="s"/>
      <x:c r="E44" s="22" t="s">
        <x:v>36</x:v>
      </x:c>
    </x:row>
    <x:row r="45" spans="1:18" x14ac:dyDescent="0.35">
      <x:c r="A45" s="22" t="s">
        <x:v>26</x:v>
      </x:c>
      <x:c r="B45" s="22" t="s"/>
      <x:c r="C45" s="22" t="s"/>
      <x:c r="D45" s="22" t="s"/>
      <x:c r="E45" s="22" t="s">
        <x:v>37</x:v>
      </x:c>
    </x:row>
    <x:row r="46" spans="1:18" customFormat="1" ht="13.15" customHeight="1" x14ac:dyDescent="0.4">
      <x:c r="C46" s="23" t="s"/>
      <x:c r="D46" s="23" t="s"/>
      <x:c r="E46" s="23" t="s"/>
    </x:row>
    <x:row r="47" spans="1:18" customFormat="1" ht="15.75" customHeight="1" x14ac:dyDescent="0.4">
      <x:c r="C47" s="23" t="s"/>
      <x:c r="D47" s="23" t="s"/>
      <x:c r="E47" s="23" t="s"/>
    </x:row>
    <x:row r="48" spans="1:18" customFormat="1" ht="20.55" customHeight="1" x14ac:dyDescent="0.4">
      <x:c r="C48" s="23" t="s"/>
      <x:c r="D48" s="23" t="s"/>
      <x:c r="E48" s="23" t="s"/>
    </x:row>
    <x:row r="49" spans="1:18" customFormat="1" ht="15.4" customHeight="1" x14ac:dyDescent="0.4">
      <x:c r="C49" s="23" t="s"/>
      <x:c r="D49" s="23" t="s"/>
      <x:c r="E49" s="23" t="s"/>
    </x:row>
    <x:row r="50" spans="1:18" customFormat="1" ht="15.75" customHeight="1" x14ac:dyDescent="0.4">
      <x:c r="C50" s="23" t="s"/>
      <x:c r="D50" s="23" t="s"/>
      <x:c r="E50" s="23" t="s"/>
    </x:row>
    <x:row r="51" spans="1:18" customFormat="1" ht="13.15" customHeight="1" x14ac:dyDescent="0.4">
      <x:c r="C51" s="23" t="s"/>
      <x:c r="D51" s="23" t="s"/>
      <x:c r="E51" s="23" t="s"/>
    </x:row>
  </x:sheetData>
  <x:conditionalFormatting sqref="E9:E10">
    <x:cfRule type="expression" priority="1" stopIfTrue="1" operator="equal">
      <x:formula>COUNTBLANK($G9)=1</x:formula>
    </x:cfRule>
    <x:cfRule type="containsBlanks" dxfId="0" priority="2">
      <x:formula>LEN(TRIM(E9))=0</x:formula>
    </x:cfRule>
  </x:conditionalFormatting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  <x:pageSetUpPr fitToPage="1"/>
  </x:sheetPr>
  <x:dimension ref="A1:O49"/>
  <x:sheetViews>
    <x:sheetView showZeros="0" zoomScaleNormal="120" workbookViewId="0">
      <x:selection activeCell="L15" sqref="L15"/>
    </x:sheetView>
  </x:sheetViews>
  <x:sheetFormatPr defaultColWidth="9" defaultRowHeight="12.4" x14ac:dyDescent="0.3"/>
  <x:cols>
    <x:col min="1" max="2" width="8.730469" style="3" customWidth="1"/>
    <x:col min="3" max="13" width="7.53125" style="3" customWidth="1"/>
    <x:col min="14" max="14" width="7.464844" style="3" hidden="1" customWidth="1"/>
    <x:col min="15" max="15" width="7.730469" style="3" hidden="1" customWidth="1"/>
    <x:col min="16" max="16384" width="9" style="3" customWidth="1"/>
  </x:cols>
  <x:sheetData>
    <x:row r="1" spans="1:15" customFormat="1" ht="17.75" customHeight="1" thickBot="1" x14ac:dyDescent="0.4">
      <x:c r="A1" s="245" t="s">
        <x:v>12</x:v>
      </x:c>
      <x:c r="B1" s="245" t="s"/>
      <x:c r="C1" s="245" t="s"/>
      <x:c r="D1" s="245" t="s"/>
      <x:c r="E1" s="245" t="s"/>
      <x:c r="H1" s="6" t="s">
        <x:v>38</x:v>
      </x:c>
      <x:c r="I1" s="224" t="s"/>
      <x:c r="J1" s="224" t="s"/>
      <x:c r="K1" s="225" t="s"/>
      <x:c r="L1" s="120" t="n">
        <x:v>23</x:v>
      </x:c>
    </x:row>
    <x:row r="2" spans="1:15" customFormat="1" ht="17.75" customHeight="1" thickBot="1" x14ac:dyDescent="0.35">
      <x:c r="A2" s="212" t="s">
        <x:v>30</x:v>
      </x:c>
      <x:c r="B2" s="212" t="s"/>
      <x:c r="C2" s="212" t="s"/>
      <x:c r="D2" s="212" t="s"/>
      <x:c r="E2" s="212" t="s"/>
      <x:c r="H2" s="6" t="s">
        <x:v>39</x:v>
      </x:c>
      <x:c r="I2" s="224" t="s"/>
      <x:c r="J2" s="224" t="s"/>
      <x:c r="K2" s="225" t="s"/>
      <x:c r="L2" s="120" t="s">
        <x:v>22</x:v>
      </x:c>
    </x:row>
    <x:row r="3" spans="1:15" customFormat="1" ht="17.75" customHeight="1" thickBot="1" x14ac:dyDescent="0.35">
      <x:c r="C3" s="122" t="s"/>
      <x:c r="D3" s="122" t="s"/>
      <x:c r="E3" s="122" t="s"/>
      <x:c r="F3" s="122" t="s"/>
      <x:c r="H3" s="6" t="s">
        <x:v>40</x:v>
      </x:c>
      <x:c r="I3" s="224" t="s"/>
      <x:c r="J3" s="224" t="s"/>
      <x:c r="K3" s="225" t="s"/>
      <x:c r="L3" s="120" t="s">
        <x:v>41</x:v>
      </x:c>
    </x:row>
    <x:row r="4" spans="1:15" customFormat="1" ht="2.65" customHeight="1" x14ac:dyDescent="0.3">
      <x:c r="C4" s="122" t="s"/>
      <x:c r="D4" s="122" t="s"/>
      <x:c r="E4" s="122" t="s"/>
      <x:c r="F4" s="122" t="s"/>
      <x:c r="H4" s="212" t="s"/>
      <x:c r="I4" s="212" t="s"/>
      <x:c r="J4" s="212" t="s"/>
      <x:c r="K4" s="212" t="s"/>
      <x:c r="L4" s="213" t="s">
        <x:v>30</x:v>
      </x:c>
    </x:row>
    <x:row r="5" spans="1:15" customFormat="1" ht="17.75" customHeight="1" thickBot="1" x14ac:dyDescent="0.35">
      <x:c r="A5" s="250" t="s">
        <x:v>42</x:v>
      </x:c>
      <x:c r="B5" s="250" t="s"/>
      <x:c r="C5" s="276">
        <x:v>46061</x:v>
      </x:c>
      <x:c r="D5" s="222" t="s"/>
      <x:c r="E5" s="222" t="s"/>
      <x:c r="F5" s="222" t="s"/>
    </x:row>
    <x:row r="6" spans="1:15" customFormat="1" ht="17.75" customHeight="1" thickBot="1" x14ac:dyDescent="0.35">
      <x:c r="A6" s="211" t="s">
        <x:v>43</x:v>
      </x:c>
      <x:c r="B6" s="211" t="s"/>
      <x:c r="C6" s="210" t="s">
        <x:v>44</x:v>
      </x:c>
      <x:c r="D6" s="210" t="s"/>
      <x:c r="E6" s="210" t="s"/>
      <x:c r="F6" s="210" t="s"/>
      <x:c r="I6" s="119" t="s"/>
      <x:c r="J6" s="226" t="s">
        <x:v>45</x:v>
      </x:c>
      <x:c r="K6" s="227" t="s"/>
      <x:c r="L6" s="228" t="s">
        <x:v>46</x:v>
      </x:c>
    </x:row>
    <x:row r="7" spans="1:15" customFormat="1" ht="17.75" customHeight="1" x14ac:dyDescent="0.3">
      <x:c r="A7" s="211" t="s">
        <x:v>47</x:v>
      </x:c>
      <x:c r="B7" s="211" t="s"/>
      <x:c r="C7" s="210" t="s">
        <x:v>48</x:v>
      </x:c>
      <x:c r="D7" s="210" t="s"/>
      <x:c r="E7" s="210" t="s"/>
      <x:c r="F7" s="210" t="s"/>
      <x:c r="I7" s="119" t="s"/>
      <x:c r="J7" s="119" t="s"/>
      <x:c r="K7" s="119" t="s"/>
      <x:c r="L7" s="277" t="s"/>
    </x:row>
    <x:row r="8" spans="1:15" customFormat="1" ht="17.75" customHeight="1" x14ac:dyDescent="0.3">
      <x:c r="A8" s="211" t="s">
        <x:v>49</x:v>
      </x:c>
      <x:c r="B8" s="211" t="s"/>
      <x:c r="C8" s="210" t="s">
        <x:v>50</x:v>
      </x:c>
      <x:c r="D8" s="210" t="s"/>
      <x:c r="E8" s="210" t="s"/>
      <x:c r="F8" s="210" t="s"/>
      <x:c r="I8" s="119" t="s"/>
      <x:c r="J8" s="119" t="s"/>
      <x:c r="K8" s="119" t="s"/>
      <x:c r="L8" s="119" t="s"/>
    </x:row>
    <x:row r="9" spans="1:15" customFormat="1" ht="17.75" customHeight="1" x14ac:dyDescent="0.3">
      <x:c r="A9" s="211" t="s"/>
      <x:c r="B9" s="211" t="s"/>
      <x:c r="C9" s="210" t="s">
        <x:v>51</x:v>
      </x:c>
      <x:c r="D9" s="210" t="s"/>
      <x:c r="E9" s="210" t="s"/>
      <x:c r="F9" s="210" t="s"/>
      <x:c r="I9" s="119" t="s"/>
      <x:c r="J9" s="119" t="s"/>
      <x:c r="K9" s="119" t="s"/>
      <x:c r="L9" s="119" t="s"/>
    </x:row>
    <x:row r="10" spans="1:15" customFormat="1" ht="0.4" customHeight="1" x14ac:dyDescent="0.3">
      <x:c r="A10" s="211" t="s">
        <x:v>52</x:v>
      </x:c>
      <x:c r="B10" s="211" t="s"/>
      <x:c r="C10" s="211" t="s">
        <x:v>53</x:v>
      </x:c>
      <x:c r="D10" s="211" t="s"/>
      <x:c r="E10" s="211" t="s"/>
      <x:c r="F10" s="211" t="s"/>
      <x:c r="I10" s="119" t="s"/>
      <x:c r="J10" s="119" t="s"/>
      <x:c r="K10" s="119" t="s"/>
      <x:c r="L10" s="119" t="s"/>
    </x:row>
    <x:row r="11" spans="1:15" customFormat="1" ht="2.35" customHeight="1" x14ac:dyDescent="0.3">
      <x:c r="A11" s="211" t="s">
        <x:v>54</x:v>
      </x:c>
      <x:c r="B11" s="211" t="s"/>
      <x:c r="C11" s="211" t="s">
        <x:v>55</x:v>
      </x:c>
      <x:c r="D11" s="211" t="s"/>
      <x:c r="E11" s="211" t="s"/>
      <x:c r="F11" s="211" t="s"/>
      <x:c r="I11" s="119" t="s"/>
      <x:c r="J11" s="119" t="s"/>
      <x:c r="K11" s="119" t="s"/>
      <x:c r="L11" s="119" t="s"/>
      <x:c r="N11" s="3" t="s">
        <x:v>56</x:v>
      </x:c>
    </x:row>
    <x:row r="12" spans="1:15" customFormat="1" ht="17.75" customHeight="1" x14ac:dyDescent="0.3">
      <x:c r="A12" s="214" t="s"/>
      <x:c r="B12" s="214" t="s"/>
      <x:c r="C12" s="214" t="s"/>
      <x:c r="D12" s="214" t="s"/>
      <x:c r="E12" s="214" t="s"/>
      <x:c r="F12" s="214" t="s"/>
      <x:c r="I12" s="119" t="s"/>
      <x:c r="J12" s="119" t="s"/>
      <x:c r="K12" s="119" t="s"/>
      <x:c r="L12" s="119" t="s"/>
    </x:row>
    <x:row r="13" spans="1:15" customFormat="1" ht="17.75" customHeight="1" x14ac:dyDescent="0.3">
      <x:c r="I13" s="119" t="s"/>
      <x:c r="J13" s="119" t="s"/>
      <x:c r="K13" s="119" t="s"/>
      <x:c r="L13" s="119" t="s"/>
    </x:row>
    <x:row r="14" spans="1:15" customFormat="1" ht="17.75" customHeight="1" x14ac:dyDescent="0.3">
      <x:c r="A14" s="237" t="s"/>
      <x:c r="B14" s="211" t="s"/>
      <x:c r="C14" s="211" t="s"/>
      <x:c r="D14" s="239" t="s"/>
      <x:c r="E14" s="240" t="s">
        <x:v>57</x:v>
      </x:c>
      <x:c r="F14" s="241" t="s"/>
      <x:c r="G14" s="241" t="s"/>
      <x:c r="H14" s="241" t="s"/>
      <x:c r="I14" s="241" t="s"/>
      <x:c r="J14" s="241" t="s"/>
      <x:c r="K14" s="242" t="s"/>
      <x:c r="L14" s="215" t="s">
        <x:v>26</x:v>
      </x:c>
    </x:row>
    <x:row r="15" spans="1:15" s="0" customFormat="1" ht="17.75" customHeight="1" x14ac:dyDescent="0.3">
      <x:c r="A15" s="229" t="s">
        <x:v>58</x:v>
      </x:c>
      <x:c r="B15" s="230" t="s"/>
      <x:c r="C15" s="230" t="s"/>
      <x:c r="D15" s="231" t="s"/>
      <x:c r="E15" s="232" t="s"/>
      <x:c r="F15" s="233" t="s"/>
      <x:c r="G15" s="233" t="s"/>
      <x:c r="H15" s="233" t="s"/>
      <x:c r="I15" s="233" t="s"/>
      <x:c r="J15" s="233" t="s"/>
      <x:c r="K15" s="234" t="s"/>
      <x:c r="L15" s="278" t="s"/>
      <x:c r="M15" s="0" t="s"/>
      <x:c r="N15" s="0" t="s"/>
      <x:c r="O15" s="0" t="s"/>
    </x:row>
    <x:row r="16" spans="1:15" customFormat="1" ht="17.75" customHeight="1" x14ac:dyDescent="0.3">
      <x:c r="A16" s="229" t="s">
        <x:v>59</x:v>
      </x:c>
      <x:c r="B16" s="230" t="s"/>
      <x:c r="C16" s="230" t="s"/>
      <x:c r="D16" s="231" t="s"/>
      <x:c r="E16" s="232" t="s"/>
      <x:c r="F16" s="233" t="s"/>
      <x:c r="G16" s="233" t="s"/>
      <x:c r="H16" s="233" t="s"/>
      <x:c r="I16" s="233" t="s"/>
      <x:c r="J16" s="233" t="s"/>
      <x:c r="K16" s="234" t="s"/>
      <x:c r="L16" s="278" t="s"/>
    </x:row>
    <x:row r="17" spans="1:15" customFormat="1" ht="17.75" customHeight="1" x14ac:dyDescent="0.3">
      <x:c r="A17" s="229" t="s">
        <x:v>60</x:v>
      </x:c>
      <x:c r="B17" s="230" t="s"/>
      <x:c r="C17" s="230" t="s"/>
      <x:c r="D17" s="231" t="s"/>
      <x:c r="E17" s="232" t="s"/>
      <x:c r="F17" s="233" t="s"/>
      <x:c r="G17" s="233" t="s"/>
      <x:c r="H17" s="233" t="s"/>
      <x:c r="I17" s="233" t="s"/>
      <x:c r="J17" s="233" t="s"/>
      <x:c r="K17" s="234" t="s"/>
      <x:c r="L17" s="278" t="s"/>
    </x:row>
    <x:row r="18" spans="1:15" customFormat="1" ht="17.75" customHeight="1" x14ac:dyDescent="0.3">
      <x:c r="A18" s="229" t="s">
        <x:v>61</x:v>
      </x:c>
      <x:c r="B18" s="230" t="s"/>
      <x:c r="C18" s="230" t="s"/>
      <x:c r="D18" s="231" t="s"/>
      <x:c r="E18" s="232" t="s"/>
      <x:c r="F18" s="233" t="s"/>
      <x:c r="G18" s="233" t="s"/>
      <x:c r="H18" s="233" t="s"/>
      <x:c r="I18" s="233" t="s"/>
      <x:c r="J18" s="233" t="s"/>
      <x:c r="K18" s="234" t="s"/>
      <x:c r="L18" s="278" t="s"/>
    </x:row>
    <x:row r="19" spans="1:15" customFormat="1" ht="17.75" customHeight="1" x14ac:dyDescent="0.3">
      <x:c r="A19" s="229" t="s">
        <x:v>62</x:v>
      </x:c>
      <x:c r="B19" s="230" t="s"/>
      <x:c r="C19" s="230" t="s"/>
      <x:c r="D19" s="231" t="s"/>
      <x:c r="E19" s="232" t="s"/>
      <x:c r="F19" s="233" t="s"/>
      <x:c r="G19" s="233" t="s"/>
      <x:c r="H19" s="233" t="s"/>
      <x:c r="I19" s="233" t="s"/>
      <x:c r="J19" s="233" t="s"/>
      <x:c r="K19" s="234" t="s"/>
      <x:c r="L19" s="278" t="s"/>
    </x:row>
    <x:row r="20" spans="1:15" customFormat="1" ht="17.75" customHeight="1" x14ac:dyDescent="0.3">
      <x:c r="A20" s="229" t="s">
        <x:v>63</x:v>
      </x:c>
      <x:c r="B20" s="230" t="s"/>
      <x:c r="C20" s="230" t="s"/>
      <x:c r="D20" s="231" t="s"/>
      <x:c r="E20" s="232" t="s"/>
      <x:c r="F20" s="233" t="s"/>
      <x:c r="G20" s="233" t="s"/>
      <x:c r="H20" s="233" t="s"/>
      <x:c r="I20" s="233" t="s"/>
      <x:c r="J20" s="233" t="s"/>
      <x:c r="K20" s="234" t="s"/>
      <x:c r="L20" s="278" t="s"/>
    </x:row>
    <x:row r="21" spans="1:15" customFormat="1" ht="17.75" customHeight="1" x14ac:dyDescent="0.3">
      <x:c r="H21" s="235" t="s">
        <x:v>64</x:v>
      </x:c>
      <x:c r="I21" s="235" t="s"/>
      <x:c r="J21" s="235" t="s"/>
      <x:c r="K21" s="235" t="s"/>
      <x:c r="L21" s="215">
        <x:f>SUM(L15:L20)</x:f>
      </x:c>
    </x:row>
    <x:row r="22" spans="1:15" customFormat="1" ht="17.75" customHeight="1" x14ac:dyDescent="0.3">
      <x:c r="H22" s="235" t="s">
        <x:v>65</x:v>
      </x:c>
      <x:c r="I22" s="235" t="s"/>
      <x:c r="J22" s="235" t="s"/>
      <x:c r="K22" s="235" t="s"/>
      <x:c r="L22" s="217">
        <x:f>IFERROR(L21/6,0)</x:f>
      </x:c>
    </x:row>
    <x:row r="25" spans="1:15" customFormat="1" ht="18.5" customHeight="1" x14ac:dyDescent="0.3">
      <x:c r="M25" s="12" t="s"/>
    </x:row>
    <x:row r="26" spans="1:15" x14ac:dyDescent="0.3">
      <x:c r="A26" s="123" t="s">
        <x:v>57</x:v>
      </x:c>
      <x:c r="B26" s="124" t="s"/>
      <x:c r="C26" s="124" t="s"/>
      <x:c r="D26" s="124" t="s"/>
      <x:c r="E26" s="124" t="s"/>
      <x:c r="F26" s="124" t="s"/>
      <x:c r="G26" s="124" t="s"/>
      <x:c r="H26" s="124" t="s"/>
      <x:c r="I26" s="124" t="s"/>
      <x:c r="J26" s="124" t="s"/>
      <x:c r="K26" s="124" t="s"/>
      <x:c r="L26" s="125" t="s"/>
    </x:row>
    <x:row r="27" spans="1:15" customFormat="1" ht="22.5" customHeight="1" x14ac:dyDescent="0.3">
      <x:c r="A27" s="126" t="s"/>
      <x:c r="L27" s="127" t="s"/>
    </x:row>
    <x:row r="28" spans="1:15" customFormat="1" ht="22.5" customHeight="1" x14ac:dyDescent="0.3">
      <x:c r="A28" s="126" t="s"/>
      <x:c r="L28" s="127" t="s"/>
    </x:row>
    <x:row r="29" spans="1:15" customFormat="1" ht="11.25" customHeight="1" x14ac:dyDescent="0.3">
      <x:c r="A29" s="128" t="s"/>
      <x:c r="B29" s="1" t="s"/>
      <x:c r="C29" s="1" t="s"/>
      <x:c r="D29" s="1" t="s"/>
      <x:c r="E29" s="1" t="s"/>
      <x:c r="F29" s="1" t="s"/>
      <x:c r="G29" s="1" t="s"/>
      <x:c r="H29" s="1" t="s"/>
      <x:c r="I29" s="1" t="s"/>
      <x:c r="J29" s="1" t="s"/>
      <x:c r="K29" s="1" t="s"/>
      <x:c r="L29" s="129" t="s"/>
    </x:row>
    <x:row r="31" spans="1:15" customFormat="1" ht="14.25" customHeight="1" x14ac:dyDescent="0.45">
      <x:c r="H31" s="5" t="s"/>
      <x:c r="I31" s="0" t="s"/>
      <x:c r="J31" s="0" t="s"/>
      <x:c r="K31" s="0" t="s"/>
      <x:c r="L31" s="0" t="s"/>
      <x:c r="M31" s="0" t="s"/>
      <x:c r="N31" s="0" t="s"/>
    </x:row>
    <x:row r="32" spans="1:15" customFormat="1" ht="20.25" customHeight="1" thickBot="1" x14ac:dyDescent="0.5">
      <x:c r="H32" s="4" t="s">
        <x:v>66</x:v>
      </x:c>
      <x:c r="I32" s="0" t="s"/>
      <x:c r="J32" s="0" t="s"/>
      <x:c r="K32" s="0" t="s"/>
      <x:c r="L32" s="0" t="s"/>
      <x:c r="M32" s="0" t="s"/>
      <x:c r="N32" s="0" t="s"/>
    </x:row>
    <x:row r="33" spans="1:15" customFormat="1" ht="30.75" customHeight="1" thickBot="1" x14ac:dyDescent="0.5">
      <x:c r="B33" s="6" t="s">
        <x:v>67</x:v>
      </x:c>
      <x:c r="C33" s="7" t="s"/>
      <x:c r="D33" s="7" t="s"/>
      <x:c r="E33" s="7" t="s"/>
      <x:c r="F33" s="7" t="s"/>
      <x:c r="G33" s="8" t="s"/>
      <x:c r="H33" s="9">
        <x:f>IFERROR(+L21/6,0)</x:f>
      </x:c>
      <x:c r="I33" s="0" t="s"/>
      <x:c r="J33" s="0" t="s"/>
      <x:c r="K33" s="0" t="s"/>
      <x:c r="L33" s="0" t="s"/>
      <x:c r="M33" s="0" t="s"/>
      <x:c r="N33" s="0" t="s"/>
    </x:row>
    <x:row r="34" spans="1:15" customFormat="1" ht="21" customHeight="1" x14ac:dyDescent="0.45">
      <x:c r="A34" s="0" t="s"/>
      <x:c r="B34" s="0" t="s"/>
      <x:c r="C34" s="0" t="s"/>
      <x:c r="D34" s="0" t="s"/>
      <x:c r="E34" s="0" t="s"/>
      <x:c r="F34" s="0" t="s"/>
      <x:c r="G34" s="0" t="s"/>
      <x:c r="H34" s="0" t="s"/>
      <x:c r="I34" s="0" t="s"/>
      <x:c r="J34" s="0" t="s"/>
      <x:c r="K34" s="0" t="s"/>
      <x:c r="L34" s="0" t="s"/>
      <x:c r="M34" s="0" t="s"/>
      <x:c r="N34" s="0" t="s"/>
    </x:row>
    <x:row r="35" spans="1:15" customFormat="1" ht="19.5" customHeight="1" x14ac:dyDescent="0.45">
      <x:c r="A35" s="0" t="s"/>
      <x:c r="B35" s="0" t="s"/>
      <x:c r="C35" s="0" t="s"/>
      <x:c r="D35" s="0" t="s"/>
      <x:c r="E35" s="0" t="s"/>
      <x:c r="F35" s="0" t="s"/>
      <x:c r="G35" s="0" t="s"/>
      <x:c r="H35" s="0" t="s"/>
      <x:c r="I35" s="0" t="s"/>
      <x:c r="J35" s="0" t="s"/>
      <x:c r="K35" s="0" t="s"/>
      <x:c r="L35" s="0" t="s"/>
      <x:c r="M35" s="0" t="s"/>
      <x:c r="N35" s="0" t="s"/>
    </x:row>
    <x:row r="36" spans="1:15" customFormat="1" ht="14.25" customHeight="1" x14ac:dyDescent="0.45">
      <x:c r="A36" s="0" t="s"/>
      <x:c r="B36" s="0" t="s"/>
      <x:c r="C36" s="0" t="s"/>
      <x:c r="D36" s="0" t="s"/>
      <x:c r="E36" s="0" t="s"/>
      <x:c r="F36" s="0" t="s"/>
      <x:c r="G36" s="0" t="s"/>
      <x:c r="H36" s="0" t="s"/>
      <x:c r="I36" s="0" t="s"/>
      <x:c r="J36" s="0" t="s"/>
      <x:c r="K36" s="0" t="s"/>
      <x:c r="L36" s="0" t="s"/>
      <x:c r="M36" s="0" t="s"/>
      <x:c r="N36" s="0" t="s"/>
    </x:row>
    <x:row r="37" spans="1:15" customFormat="1" ht="18" customHeight="1" x14ac:dyDescent="0.45">
      <x:c r="A37" s="0" t="s"/>
      <x:c r="B37" s="0" t="s"/>
      <x:c r="C37" s="0" t="s"/>
      <x:c r="D37" s="0" t="s"/>
      <x:c r="E37" s="0" t="s"/>
      <x:c r="F37" s="0" t="s"/>
      <x:c r="G37" s="0" t="s"/>
      <x:c r="H37" s="0" t="s"/>
      <x:c r="I37" s="0" t="s"/>
      <x:c r="J37" s="0" t="s"/>
      <x:c r="K37" s="0" t="s"/>
      <x:c r="L37" s="0" t="s"/>
      <x:c r="M37" s="0" t="s"/>
      <x:c r="N37" s="0" t="s"/>
    </x:row>
    <x:row r="38" spans="1:15" customFormat="1" ht="18" customHeight="1" x14ac:dyDescent="0.45">
      <x:c r="A38" s="0" t="s"/>
      <x:c r="B38" s="0" t="s"/>
      <x:c r="C38" s="0" t="s"/>
      <x:c r="D38" s="0" t="s"/>
      <x:c r="E38" s="0" t="s"/>
      <x:c r="F38" s="0" t="s"/>
      <x:c r="G38" s="0" t="s"/>
      <x:c r="H38" s="0" t="s"/>
      <x:c r="I38" s="0" t="s"/>
      <x:c r="J38" s="0" t="s"/>
      <x:c r="K38" s="0" t="s"/>
      <x:c r="L38" s="0" t="s"/>
      <x:c r="M38" s="0" t="s"/>
      <x:c r="N38" s="0" t="s"/>
    </x:row>
    <x:row r="39" spans="1:15" customFormat="1" ht="18" customHeight="1" x14ac:dyDescent="0.45">
      <x:c r="A39" s="0" t="s"/>
      <x:c r="B39" s="0" t="s"/>
      <x:c r="C39" s="0" t="s"/>
      <x:c r="D39" s="0" t="s"/>
      <x:c r="E39" s="0" t="s"/>
      <x:c r="F39" s="0" t="s"/>
      <x:c r="G39" s="0" t="s"/>
      <x:c r="H39" s="0" t="s"/>
      <x:c r="I39" s="0" t="s"/>
      <x:c r="J39" s="0" t="s"/>
      <x:c r="K39" s="0" t="s"/>
      <x:c r="L39" s="0" t="s"/>
      <x:c r="M39" s="0" t="s"/>
      <x:c r="N39" s="0" t="s"/>
    </x:row>
    <x:row r="40" spans="1:15" customFormat="1" ht="18" customHeight="1" x14ac:dyDescent="0.45">
      <x:c r="A40" s="0" t="s"/>
      <x:c r="B40" s="0" t="s"/>
      <x:c r="C40" s="0" t="s"/>
      <x:c r="D40" s="0" t="s"/>
      <x:c r="E40" s="0" t="s"/>
      <x:c r="F40" s="0" t="s"/>
      <x:c r="G40" s="0" t="s"/>
      <x:c r="H40" s="0" t="s"/>
      <x:c r="I40" s="0" t="s"/>
      <x:c r="J40" s="0" t="s"/>
      <x:c r="K40" s="0" t="s"/>
      <x:c r="L40" s="0" t="s"/>
      <x:c r="M40" s="0" t="s"/>
      <x:c r="N40" s="0" t="s"/>
    </x:row>
    <x:row r="41" spans="1:15" customFormat="1" ht="13.5" customHeight="1" x14ac:dyDescent="0.3"/>
    <x:row r="42" spans="1:15" x14ac:dyDescent="0.3">
      <x:c r="A42" s="222" t="s">
        <x:v>68</x:v>
      </x:c>
      <x:c r="B42" s="222" t="s"/>
      <x:c r="C42" s="222" t="s"/>
      <x:c r="D42" s="222" t="s"/>
      <x:c r="E42" s="222" t="s"/>
      <x:c r="G42" s="1" t="s">
        <x:v>69</x:v>
      </x:c>
      <x:c r="H42" s="1" t="s"/>
      <x:c r="I42" s="1" t="s"/>
      <x:c r="J42" s="1" t="s"/>
      <x:c r="K42" s="1" t="s"/>
      <x:c r="L42" s="1" t="s"/>
      <x:c r="M42" s="1" t="s"/>
      <x:c r="N42" s="1" t="s"/>
    </x:row>
    <x:row r="43" spans="1:15" customFormat="1" ht="9" customHeight="1" x14ac:dyDescent="0.3">
      <x:c r="E43" s="14" t="s"/>
      <x:c r="G43" s="13" t="s"/>
      <x:c r="H43" s="13" t="s"/>
      <x:c r="I43" s="13" t="s"/>
      <x:c r="J43" s="13" t="s"/>
      <x:c r="K43" s="13" t="s"/>
      <x:c r="L43" s="15" t="s"/>
      <x:c r="M43" s="4" t="s"/>
      <x:c r="N43" s="10" t="s"/>
    </x:row>
    <x:row r="48" spans="1:15" customFormat="1" ht="12" customHeight="1" x14ac:dyDescent="0.3"/>
    <x:row r="49" spans="1:15" customFormat="1" ht="13.5" customHeight="1" x14ac:dyDescent="0.3"/>
  </x:sheetData>
  <x:mergeCells count="34">
    <x:mergeCell ref="A1:E1"/>
    <x:mergeCell ref="H1:K1"/>
    <x:mergeCell ref="A2:E2"/>
    <x:mergeCell ref="H2:K2"/>
    <x:mergeCell ref="H3:K3"/>
    <x:mergeCell ref="A5:B5"/>
    <x:mergeCell ref="C5:F5"/>
    <x:mergeCell ref="A6:B6"/>
    <x:mergeCell ref="C6:F6"/>
    <x:mergeCell ref="A7:B7"/>
    <x:mergeCell ref="C7:F7"/>
    <x:mergeCell ref="A8:B8"/>
    <x:mergeCell ref="C8:F8"/>
    <x:mergeCell ref="A10:B10"/>
    <x:mergeCell ref="C10:F10"/>
    <x:mergeCell ref="A11:B11"/>
    <x:mergeCell ref="C11:F11"/>
    <x:mergeCell ref="A14:D14"/>
    <x:mergeCell ref="E14:K14"/>
    <x:mergeCell ref="A15:D15"/>
    <x:mergeCell ref="E15:K15"/>
    <x:mergeCell ref="A16:D16"/>
    <x:mergeCell ref="E16:K16"/>
    <x:mergeCell ref="A17:D17"/>
    <x:mergeCell ref="E17:K17"/>
    <x:mergeCell ref="A18:D18"/>
    <x:mergeCell ref="E18:K18"/>
    <x:mergeCell ref="A19:D19"/>
    <x:mergeCell ref="E19:K19"/>
    <x:mergeCell ref="A20:D20"/>
    <x:mergeCell ref="E20:K20"/>
    <x:mergeCell ref="H21:K21"/>
    <x:mergeCell ref="H22:K22"/>
    <x:mergeCell ref="A42:E42"/>
  </x:mergeCells>
  <x:printOptions horizontalCentered="0" verticalCentered="0" headings="0" gridLines="0"/>
  <x:pageMargins left="0.70866141732283472" right="0.70866141732283472" top="0.984251968503937" bottom="0.74803149606299213" header="0.31496062992125984" footer="0.31496062992125984"/>
  <x:pageSetup paperSize="9" pageOrder="downThenOver" orientation="portrait" blackAndWhite="0" draft="0" cellComments="none" errors="displayed" horizontalDpi="300" verticalDpi="300" r:id="rId1"/>
  <x:headerFooter differentOddEven="0" differentFirst="0" scaleWithDoc="1" alignWithMargins="1">
    <x:oddHeader>&amp;L&amp;G&amp;C&amp;"Verdana,Normal"&amp;12PROTOKOLL FÖR LÄTT KLASS INDIVIDUELL - TRÄHÄST</x:oddHeader>
    <x:oddFooter>&amp;R2021-11-23</x:oddFooter>
    <x:evenHeader/>
    <x:evenFooter/>
    <x:firstHeader/>
    <x:firstFooter/>
  </x:headerFooter>
  <x:legacyDrawingHF r:id="rId2"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>
    <x:outlinePr summaryBelow="1" summaryRight="1"/>
    <x:pageSetUpPr fitToPage="1"/>
  </x:sheetPr>
  <x:dimension ref="A1:L42"/>
  <x:sheetViews>
    <x:sheetView showZeros="0" workbookViewId="0">
      <x:selection activeCell="B17" sqref="B17"/>
    </x:sheetView>
  </x:sheetViews>
  <x:sheetFormatPr defaultColWidth="9.199219" defaultRowHeight="12.4" x14ac:dyDescent="0.3"/>
  <x:cols>
    <x:col min="1" max="1" width="10.53125" style="3" customWidth="1"/>
    <x:col min="2" max="7" width="7.464844" style="3" customWidth="1"/>
    <x:col min="8" max="8" width="6.464844" style="3" customWidth="1"/>
    <x:col min="9" max="9" width="7.265625" style="3" customWidth="1"/>
    <x:col min="10" max="10" width="7.464844" style="3" customWidth="1"/>
    <x:col min="11" max="11" width="10" style="3" customWidth="1"/>
    <x:col min="12" max="12" width="7.265625" style="3" hidden="1" customWidth="1"/>
    <x:col min="13" max="16384" width="9.199219" style="3" customWidth="1"/>
  </x:cols>
  <x:sheetData>
    <x:row r="1" spans="1:12" customFormat="1" ht="18.3" customHeight="1" thickBot="1" x14ac:dyDescent="0.4">
      <x:c r="A1" s="245" t="s">
        <x:v>12</x:v>
      </x:c>
      <x:c r="B1" s="245" t="s"/>
      <x:c r="C1" s="245" t="s"/>
      <x:c r="D1" s="245" t="s"/>
      <x:c r="E1" s="245" t="s"/>
      <x:c r="H1" s="6" t="s">
        <x:v>38</x:v>
      </x:c>
      <x:c r="I1" s="224" t="s"/>
      <x:c r="J1" s="224" t="s"/>
      <x:c r="K1" s="225" t="s"/>
      <x:c r="L1" s="120" t="s"/>
    </x:row>
    <x:row r="2" spans="1:12" customFormat="1" ht="18.3" customHeight="1" thickBot="1" x14ac:dyDescent="0.35">
      <x:c r="A2" s="212" t="s">
        <x:v>10</x:v>
      </x:c>
      <x:c r="B2" s="212" t="s"/>
      <x:c r="C2" s="212" t="s"/>
      <x:c r="D2" s="212" t="s"/>
      <x:c r="E2" s="212" t="s"/>
      <x:c r="H2" s="6" t="s">
        <x:v>39</x:v>
      </x:c>
      <x:c r="I2" s="224" t="s"/>
      <x:c r="J2" s="224" t="s"/>
      <x:c r="K2" s="225" t="s"/>
      <x:c r="L2" s="120" t="s"/>
    </x:row>
    <x:row r="3" spans="1:12" customFormat="1" ht="18.3" customHeight="1" thickBot="1" x14ac:dyDescent="0.35">
      <x:c r="C3" s="122" t="s"/>
      <x:c r="D3" s="122" t="s"/>
      <x:c r="E3" s="122" t="s"/>
      <x:c r="F3" s="122" t="s"/>
      <x:c r="H3" s="6" t="s">
        <x:v>40</x:v>
      </x:c>
      <x:c r="I3" s="224" t="s"/>
      <x:c r="J3" s="224" t="s"/>
      <x:c r="K3" s="225" t="s"/>
      <x:c r="L3" s="120" t="s"/>
    </x:row>
    <x:row r="4" spans="1:12" customFormat="1" ht="18.3" customHeight="1" x14ac:dyDescent="0.3">
      <x:c r="C4" s="122" t="s"/>
      <x:c r="D4" s="122" t="s"/>
      <x:c r="E4" s="122" t="s"/>
      <x:c r="F4" s="122" t="s"/>
      <x:c r="H4" s="212" t="s"/>
      <x:c r="I4" s="212" t="s"/>
      <x:c r="J4" s="212" t="s"/>
      <x:c r="K4" s="212" t="s"/>
      <x:c r="L4" s="130" t="s"/>
    </x:row>
    <x:row r="5" spans="1:12" customFormat="1" ht="18.3" customHeight="1" thickBot="1" x14ac:dyDescent="0.35">
      <x:c r="A5" s="250" t="s">
        <x:v>42</x:v>
      </x:c>
      <x:c r="B5" s="250" t="s"/>
      <x:c r="C5" s="222" t="s"/>
      <x:c r="D5" s="222" t="s"/>
      <x:c r="E5" s="222" t="s"/>
      <x:c r="F5" s="222" t="s"/>
    </x:row>
    <x:row r="6" spans="1:12" customFormat="1" ht="18.3" customHeight="1" thickBot="1" x14ac:dyDescent="0.35">
      <x:c r="A6" s="211" t="s">
        <x:v>43</x:v>
      </x:c>
      <x:c r="B6" s="211" t="s"/>
      <x:c r="C6" s="210" t="s"/>
      <x:c r="D6" s="210" t="s"/>
      <x:c r="E6" s="210" t="s"/>
      <x:c r="F6" s="210" t="s"/>
      <x:c r="I6" s="226" t="s">
        <x:v>45</x:v>
      </x:c>
      <x:c r="J6" s="227" t="s"/>
      <x:c r="L6" s="228" t="s"/>
    </x:row>
    <x:row r="7" spans="1:12" customFormat="1" ht="18.3" customHeight="1" x14ac:dyDescent="0.3">
      <x:c r="A7" s="211" t="s">
        <x:v>47</x:v>
      </x:c>
      <x:c r="B7" s="211" t="s"/>
      <x:c r="C7" s="210" t="s"/>
      <x:c r="D7" s="210" t="s"/>
      <x:c r="E7" s="210" t="s"/>
      <x:c r="F7" s="210" t="s"/>
      <x:c r="I7" s="119" t="s"/>
      <x:c r="J7" s="119" t="s"/>
      <x:c r="K7" s="119" t="s"/>
      <x:c r="L7" s="119" t="s"/>
    </x:row>
    <x:row r="8" spans="1:12" customFormat="1" ht="18.3" customHeight="1" x14ac:dyDescent="0.3">
      <x:c r="A8" s="211" t="s">
        <x:v>49</x:v>
      </x:c>
      <x:c r="B8" s="211" t="s"/>
      <x:c r="C8" s="210" t="s"/>
      <x:c r="D8" s="210" t="s"/>
      <x:c r="E8" s="210" t="s"/>
      <x:c r="F8" s="210" t="s"/>
      <x:c r="I8" s="119" t="s"/>
      <x:c r="J8" s="119" t="s"/>
      <x:c r="K8" s="119" t="s"/>
      <x:c r="L8" s="119" t="s"/>
    </x:row>
    <x:row r="9" spans="1:12" customFormat="1" ht="0.75" customHeight="1" x14ac:dyDescent="0.3">
      <x:c r="A9" s="211" t="s">
        <x:v>52</x:v>
      </x:c>
      <x:c r="B9" s="211" t="s"/>
      <x:c r="C9" s="211" t="s"/>
      <x:c r="D9" s="211" t="s"/>
      <x:c r="E9" s="211" t="s"/>
      <x:c r="F9" s="211" t="s"/>
      <x:c r="I9" s="119" t="s"/>
      <x:c r="J9" s="119" t="s"/>
      <x:c r="K9" s="119" t="s"/>
      <x:c r="L9" s="119" t="s"/>
    </x:row>
    <x:row r="10" spans="1:12" customFormat="1" ht="1.9" customHeight="1" x14ac:dyDescent="0.3">
      <x:c r="A10" s="211" t="s">
        <x:v>54</x:v>
      </x:c>
      <x:c r="B10" s="211" t="s"/>
      <x:c r="C10" s="211" t="s"/>
      <x:c r="D10" s="211" t="s"/>
      <x:c r="E10" s="211" t="s"/>
      <x:c r="F10" s="211" t="s"/>
      <x:c r="I10" s="119" t="s"/>
      <x:c r="J10" s="119" t="s"/>
      <x:c r="K10" s="119" t="s"/>
      <x:c r="L10" s="119" t="s"/>
    </x:row>
    <x:row r="11" spans="1:12" customFormat="1" ht="18.3" customHeight="1" x14ac:dyDescent="0.3">
      <x:c r="I11" s="118" t="s"/>
      <x:c r="J11" s="118" t="s"/>
      <x:c r="K11" s="118" t="s"/>
      <x:c r="L11" s="118" t="s"/>
    </x:row>
    <x:row r="12" spans="1:12" customFormat="1" ht="18.3" customHeight="1" x14ac:dyDescent="0.3">
      <x:c r="I12" s="118" t="s"/>
      <x:c r="J12" s="118" t="s"/>
      <x:c r="K12" s="118" t="s"/>
      <x:c r="L12" s="118" t="s"/>
    </x:row>
    <x:row r="13" spans="1:12" customFormat="1" ht="18.3" customHeight="1" x14ac:dyDescent="0.3">
      <x:c r="I13" s="118" t="s"/>
      <x:c r="J13" s="118" t="s"/>
      <x:c r="K13" s="118" t="s"/>
      <x:c r="L13" s="118" t="s"/>
    </x:row>
    <x:row r="14" spans="1:12" customFormat="1" ht="18.3" customHeight="1" x14ac:dyDescent="0.3">
      <x:c r="I14" s="214" t="s"/>
      <x:c r="J14" s="214" t="s"/>
      <x:c r="K14" s="214" t="s"/>
    </x:row>
    <x:row r="15" spans="1:12" customFormat="1" ht="18.3" customHeight="1" x14ac:dyDescent="0.35">
      <x:c r="A15" s="17" t="s">
        <x:v>10</x:v>
      </x:c>
      <x:c r="B15" s="250" t="s">
        <x:v>70</x:v>
      </x:c>
      <x:c r="C15" s="250" t="s"/>
      <x:c r="D15" s="250" t="s"/>
      <x:c r="E15" s="250" t="s"/>
      <x:c r="F15" s="250" t="s"/>
      <x:c r="G15" s="250" t="s"/>
      <x:c r="I15" s="118" t="s"/>
      <x:c r="J15" s="118" t="s"/>
      <x:c r="K15" s="118" t="s"/>
    </x:row>
    <x:row r="16" spans="1:12" customFormat="1" ht="18.3" customHeight="1" x14ac:dyDescent="0.3">
      <x:c r="B16" s="16" t="n">
        <x:v>1</x:v>
      </x:c>
      <x:c r="C16" s="16" t="n">
        <x:v>2</x:v>
      </x:c>
      <x:c r="D16" s="16" t="n">
        <x:v>3</x:v>
      </x:c>
      <x:c r="E16" s="16" t="n">
        <x:v>4</x:v>
      </x:c>
      <x:c r="F16" s="16" t="n">
        <x:v>5</x:v>
      </x:c>
      <x:c r="G16" s="218" t="s">
        <x:v>71</x:v>
      </x:c>
      <x:c r="I16" s="118" t="s"/>
      <x:c r="J16" s="118" t="s"/>
      <x:c r="K16" s="118" t="s"/>
    </x:row>
    <x:row r="17" spans="1:12" s="0" customFormat="1" ht="18.3" customHeight="1" thickBot="1" x14ac:dyDescent="0.35">
      <x:c r="A17" s="18" t="s">
        <x:v>72</x:v>
      </x:c>
      <x:c r="B17" s="279" t="s"/>
      <x:c r="C17" s="279" t="s"/>
      <x:c r="D17" s="279" t="s"/>
      <x:c r="E17" s="279" t="s"/>
      <x:c r="F17" s="279" t="s"/>
      <x:c r="G17" s="220">
        <x:f>IFERROR(B17+C17+D17+E17+F17,0)</x:f>
      </x:c>
      <x:c r="H17" s="0" t="s"/>
      <x:c r="I17" s="118" t="s"/>
      <x:c r="J17" s="118" t="s"/>
      <x:c r="K17" s="118" t="s"/>
      <x:c r="L17" s="0" t="s"/>
    </x:row>
    <x:row r="18" spans="1:12" customFormat="1" ht="18.3" customHeight="1" thickBot="1" x14ac:dyDescent="0.35">
      <x:c r="D18" s="265" t="s">
        <x:v>73</x:v>
      </x:c>
      <x:c r="E18" s="265" t="s"/>
      <x:c r="F18" s="3" t="s">
        <x:v>74</x:v>
      </x:c>
      <x:c r="G18" s="221">
        <x:f>G17/5</x:f>
      </x:c>
      <x:c r="H18" s="119" t="s"/>
      <x:c r="I18" s="119" t="s"/>
      <x:c r="J18" s="119" t="s"/>
      <x:c r="K18" s="119" t="s"/>
    </x:row>
    <x:row r="19" spans="1:12" customFormat="1" ht="17.25" customHeight="1" x14ac:dyDescent="0.3">
      <x:c r="C19" s="2" t="s"/>
      <x:c r="H19" s="118" t="s"/>
      <x:c r="I19" s="119" t="s"/>
      <x:c r="J19" s="119" t="s"/>
      <x:c r="K19" s="119" t="s"/>
    </x:row>
    <x:row r="20" spans="1:12" customFormat="1" ht="12.5" customHeight="1" x14ac:dyDescent="0.3"/>
    <x:row r="21" spans="1:12" customFormat="1" ht="12.75" customHeight="1" x14ac:dyDescent="0.3">
      <x:c r="A21" s="255" t="s">
        <x:v>75</x:v>
      </x:c>
      <x:c r="B21" s="256" t="s"/>
      <x:c r="C21" s="256" t="s"/>
      <x:c r="D21" s="256" t="s"/>
      <x:c r="E21" s="256" t="s"/>
      <x:c r="F21" s="256" t="s"/>
      <x:c r="G21" s="256" t="s"/>
      <x:c r="H21" s="256" t="s"/>
      <x:c r="I21" s="256" t="s"/>
      <x:c r="J21" s="256" t="s"/>
      <x:c r="K21" s="257" t="s"/>
    </x:row>
    <x:row r="22" spans="1:12" x14ac:dyDescent="0.3">
      <x:c r="A22" s="258" t="s"/>
      <x:c r="B22" s="259" t="s"/>
      <x:c r="C22" s="259" t="s"/>
      <x:c r="D22" s="259" t="s"/>
      <x:c r="E22" s="259" t="s"/>
      <x:c r="F22" s="259" t="s"/>
      <x:c r="G22" s="259" t="s"/>
      <x:c r="H22" s="259" t="s"/>
      <x:c r="I22" s="259" t="s"/>
      <x:c r="J22" s="259" t="s"/>
      <x:c r="K22" s="260" t="s"/>
    </x:row>
    <x:row r="23" spans="1:12" customFormat="1" ht="42" customHeight="1" x14ac:dyDescent="0.3">
      <x:c r="A23" s="258" t="s"/>
      <x:c r="B23" s="259" t="s"/>
      <x:c r="C23" s="259" t="s"/>
      <x:c r="D23" s="259" t="s"/>
      <x:c r="E23" s="259" t="s"/>
      <x:c r="F23" s="259" t="s"/>
      <x:c r="G23" s="259" t="s"/>
      <x:c r="H23" s="259" t="s"/>
      <x:c r="I23" s="259" t="s"/>
      <x:c r="J23" s="259" t="s"/>
      <x:c r="K23" s="260" t="s"/>
    </x:row>
    <x:row r="24" spans="1:12" customFormat="1" ht="9" customHeight="1" x14ac:dyDescent="0.3">
      <x:c r="A24" s="258" t="s"/>
      <x:c r="B24" s="259" t="s"/>
      <x:c r="C24" s="259" t="s"/>
      <x:c r="D24" s="259" t="s"/>
      <x:c r="E24" s="259" t="s"/>
      <x:c r="F24" s="259" t="s"/>
      <x:c r="G24" s="259" t="s"/>
      <x:c r="H24" s="259" t="s"/>
      <x:c r="I24" s="259" t="s"/>
      <x:c r="J24" s="259" t="s"/>
      <x:c r="K24" s="260" t="s"/>
    </x:row>
    <x:row r="25" spans="1:12" x14ac:dyDescent="0.3">
      <x:c r="A25" s="261" t="s"/>
      <x:c r="B25" s="262" t="s"/>
      <x:c r="C25" s="262" t="s"/>
      <x:c r="D25" s="262" t="s"/>
      <x:c r="E25" s="262" t="s"/>
      <x:c r="F25" s="262" t="s"/>
      <x:c r="G25" s="262" t="s"/>
      <x:c r="H25" s="262" t="s"/>
      <x:c r="I25" s="262" t="s"/>
      <x:c r="J25" s="262" t="s"/>
      <x:c r="K25" s="263" t="s"/>
    </x:row>
    <x:row r="26" spans="1:12" customFormat="1" ht="14.55" customHeight="1" thickBot="1" x14ac:dyDescent="0.35"/>
    <x:row r="27" spans="1:12" customFormat="1" ht="13.9" customHeight="1" thickBot="1" x14ac:dyDescent="0.35">
      <x:c r="E27" s="226" t="s">
        <x:v>76</x:v>
      </x:c>
      <x:c r="F27" s="253" t="s"/>
      <x:c r="G27" s="253" t="s"/>
      <x:c r="H27" s="253" t="s"/>
      <x:c r="I27" s="253" t="s"/>
      <x:c r="J27" s="254" t="s"/>
      <x:c r="K27" s="19">
        <x:f>IFERROR(G18,"")</x:f>
      </x:c>
    </x:row>
    <x:row r="28" spans="1:12" customFormat="1" ht="13.5" customHeight="1" x14ac:dyDescent="0.3">
      <x:c r="E28" s="11" t="s"/>
      <x:c r="F28" s="11" t="s"/>
      <x:c r="G28" s="11" t="s"/>
      <x:c r="H28" s="11" t="s"/>
      <x:c r="I28" s="11" t="s"/>
      <x:c r="J28" s="26" t="s"/>
      <x:c r="K28" s="26" t="s"/>
    </x:row>
    <x:row r="29" spans="1:12" customFormat="1" ht="13.5" customHeight="1" x14ac:dyDescent="0.3">
      <x:c r="E29" s="11" t="s"/>
      <x:c r="F29" s="11" t="s"/>
      <x:c r="G29" s="11" t="s"/>
      <x:c r="H29" s="11" t="s"/>
      <x:c r="I29" s="11" t="s"/>
      <x:c r="J29" s="11" t="s"/>
      <x:c r="K29" s="11" t="s"/>
    </x:row>
    <x:row r="30" spans="1:12" customFormat="1" ht="13.5" customHeight="1" x14ac:dyDescent="0.3">
      <x:c r="E30" s="11" t="s"/>
      <x:c r="F30" s="11" t="s"/>
      <x:c r="G30" s="11" t="s"/>
      <x:c r="H30" s="11" t="s"/>
      <x:c r="I30" s="11" t="s"/>
      <x:c r="J30" s="11" t="s"/>
      <x:c r="K30" s="11" t="s"/>
    </x:row>
    <x:row r="31" spans="1:12" customFormat="1" ht="13.5" customHeight="1" x14ac:dyDescent="0.3">
      <x:c r="E31" s="11" t="s"/>
      <x:c r="F31" s="11" t="s"/>
      <x:c r="G31" s="11" t="s"/>
      <x:c r="H31" s="11" t="s"/>
      <x:c r="I31" s="11" t="s"/>
      <x:c r="J31" s="11" t="s"/>
      <x:c r="K31" s="11" t="s"/>
    </x:row>
    <x:row r="32" spans="1:12" customFormat="1" ht="13.5" customHeight="1" x14ac:dyDescent="0.3">
      <x:c r="E32" s="11" t="s"/>
      <x:c r="F32" s="11" t="s"/>
      <x:c r="G32" s="11" t="s"/>
      <x:c r="H32" s="11" t="s"/>
      <x:c r="I32" s="11" t="s"/>
      <x:c r="J32" s="11" t="s"/>
      <x:c r="K32" s="11" t="s"/>
    </x:row>
    <x:row r="33" spans="1:12" customFormat="1" ht="13.5" customHeight="1" x14ac:dyDescent="0.3">
      <x:c r="E33" s="11" t="s"/>
      <x:c r="F33" s="11" t="s"/>
      <x:c r="G33" s="11" t="s"/>
      <x:c r="H33" s="11" t="s"/>
      <x:c r="I33" s="11" t="s"/>
      <x:c r="J33" s="11" t="s"/>
      <x:c r="K33" s="11" t="s"/>
    </x:row>
    <x:row r="34" spans="1:12" customFormat="1" ht="13.5" customHeight="1" x14ac:dyDescent="0.3">
      <x:c r="E34" s="11" t="s"/>
      <x:c r="F34" s="11" t="s"/>
      <x:c r="G34" s="11" t="s"/>
      <x:c r="H34" s="11" t="s"/>
      <x:c r="I34" s="11" t="s"/>
      <x:c r="J34" s="11" t="s"/>
      <x:c r="K34" s="11" t="s"/>
    </x:row>
    <x:row r="35" spans="1:12" customFormat="1" ht="13.5" customHeight="1" x14ac:dyDescent="0.3">
      <x:c r="E35" s="11" t="s"/>
      <x:c r="F35" s="11" t="s"/>
      <x:c r="G35" s="11" t="s"/>
      <x:c r="H35" s="11" t="s"/>
      <x:c r="I35" s="11" t="s"/>
      <x:c r="J35" s="11" t="s"/>
      <x:c r="K35" s="11" t="s"/>
    </x:row>
    <x:row r="36" spans="1:12" customFormat="1" ht="13.5" customHeight="1" x14ac:dyDescent="0.3">
      <x:c r="E36" s="11" t="s"/>
      <x:c r="F36" s="11" t="s"/>
      <x:c r="G36" s="11" t="s"/>
      <x:c r="H36" s="11" t="s"/>
      <x:c r="I36" s="11" t="s"/>
      <x:c r="J36" s="11" t="s"/>
      <x:c r="K36" s="11" t="s"/>
    </x:row>
    <x:row r="37" spans="1:12" customFormat="1" ht="13.5" customHeight="1" x14ac:dyDescent="0.3">
      <x:c r="E37" s="11" t="s"/>
      <x:c r="F37" s="11" t="s"/>
      <x:c r="G37" s="11" t="s"/>
      <x:c r="H37" s="11" t="s"/>
      <x:c r="I37" s="11" t="s"/>
      <x:c r="J37" s="11" t="s"/>
      <x:c r="K37" s="11" t="s"/>
    </x:row>
    <x:row r="38" spans="1:12" customFormat="1" ht="13.5" customHeight="1" x14ac:dyDescent="0.3">
      <x:c r="E38" s="11" t="s"/>
      <x:c r="F38" s="11" t="s"/>
      <x:c r="G38" s="11" t="s"/>
      <x:c r="H38" s="11" t="s"/>
      <x:c r="I38" s="11" t="s"/>
      <x:c r="J38" s="11" t="s"/>
      <x:c r="K38" s="11" t="s"/>
    </x:row>
    <x:row r="39" spans="1:12" customFormat="1" ht="13.5" customHeight="1" x14ac:dyDescent="0.3">
      <x:c r="E39" s="11" t="s"/>
      <x:c r="F39" s="11" t="s"/>
      <x:c r="G39" s="11" t="s"/>
      <x:c r="H39" s="11" t="s"/>
      <x:c r="I39" s="11" t="s"/>
      <x:c r="J39" s="11" t="s"/>
      <x:c r="K39" s="11" t="s"/>
    </x:row>
    <x:row r="41" spans="1:12" x14ac:dyDescent="0.3">
      <x:c r="A41" s="222" t="s">
        <x:v>68</x:v>
      </x:c>
      <x:c r="B41" s="222" t="s"/>
      <x:c r="C41" s="222" t="s"/>
      <x:c r="D41" s="222" t="s"/>
      <x:c r="E41" s="222" t="s"/>
      <x:c r="G41" s="1" t="s">
        <x:v>69</x:v>
      </x:c>
      <x:c r="H41" s="1" t="s"/>
      <x:c r="I41" s="1" t="s"/>
      <x:c r="J41" s="1" t="s"/>
      <x:c r="K41" s="1" t="s"/>
    </x:row>
    <x:row r="42" spans="1:12" x14ac:dyDescent="0.3">
      <x:c r="E42" s="14" t="s"/>
      <x:c r="G42" s="13" t="s"/>
      <x:c r="H42" s="13" t="s"/>
      <x:c r="I42" s="15" t="s"/>
      <x:c r="J42" s="4" t="s"/>
      <x:c r="K42" s="10" t="s"/>
    </x:row>
  </x:sheetData>
  <x:mergeCells count="22">
    <x:mergeCell ref="A1:E1"/>
    <x:mergeCell ref="A2:E2"/>
    <x:mergeCell ref="A5:B5"/>
    <x:mergeCell ref="C5:F5"/>
    <x:mergeCell ref="A6:B6"/>
    <x:mergeCell ref="C6:F6"/>
    <x:mergeCell ref="A7:B7"/>
    <x:mergeCell ref="C7:F7"/>
    <x:mergeCell ref="A8:B8"/>
    <x:mergeCell ref="C8:F8"/>
    <x:mergeCell ref="A9:B9"/>
    <x:mergeCell ref="C9:F9"/>
    <x:mergeCell ref="A10:B10"/>
    <x:mergeCell ref="C10:F10"/>
    <x:mergeCell ref="I11:L11"/>
    <x:mergeCell ref="I14:K14"/>
    <x:mergeCell ref="B15:G15"/>
    <x:mergeCell ref="I15:K15"/>
    <x:mergeCell ref="I16:K16"/>
    <x:mergeCell ref="D18:E18"/>
    <x:mergeCell ref="A21:K25"/>
    <x:mergeCell ref="E27:J27"/>
  </x:mergeCells>
  <x:conditionalFormatting sqref="K20:K27">
    <x:cfRule type="cellIs" dxfId="1" priority="1" operator="notBetween">
      <x:formula>0</x:formula>
      <x:formula>10</x:formula>
    </x:cfRule>
    <x:cfRule type="cellIs" dxfId="2" priority="2" operator="equal">
      <x:formula>0</x:formula>
    </x:cfRule>
  </x:conditionalFormatting>
  <x:printOptions horizontalCentered="0" verticalCentered="0" headings="0" gridLines="0"/>
  <x:pageMargins left="0.59055118110236227" right="0.59055118110236227" top="0.984251968503937" bottom="0.74803149606299213" header="0.31496062992125984" footer="0.31496062992125984"/>
  <x:pageSetup paperSize="9" pageOrder="downThenOver" orientation="portrait" blackAndWhite="0" draft="0" cellComments="none" errors="displayed" horizontalDpi="300" verticalDpi="300" r:id="rId1"/>
  <x:headerFooter differentOddEven="0" differentFirst="0" scaleWithDoc="1" alignWithMargins="1">
    <x:oddHeader>&amp;L&amp;G&amp;C&amp;"Verdana,Normal"&amp;12PROTOKOLL FÖR LÄTT KLASS INDIVIDUELL - TRÄHÄST</x:oddHeader>
    <x:oddFooter>&amp;R2023-01-21</x:oddFooter>
    <x:evenHeader/>
    <x:evenFooter/>
    <x:firstHeader/>
    <x:firstFooter/>
  </x:headerFooter>
  <x:legacyDrawingHF r:id="rId2"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>
    <x:outlinePr summaryBelow="1" summaryRight="1"/>
    <x:pageSetUpPr fitToPage="1"/>
  </x:sheetPr>
  <x:dimension ref="A1:O74"/>
  <x:sheetViews>
    <x:sheetView zoomScale="70" zoomScalePageLayoutView="70" workbookViewId="0">
      <x:selection activeCell="D12" sqref="D12"/>
    </x:sheetView>
  </x:sheetViews>
  <x:sheetFormatPr defaultColWidth="11.464844" defaultRowHeight="15.75" x14ac:dyDescent="0.5"/>
  <x:cols>
    <x:col min="1" max="1" width="11.464844" style="99" customWidth="1"/>
    <x:col min="2" max="3" width="11.464844" style="99" hidden="1" customWidth="1"/>
    <x:col min="4" max="4" width="27.53125" style="100" customWidth="1"/>
    <x:col min="5" max="5" width="7.199219" style="99" customWidth="1"/>
    <x:col min="6" max="6" width="28.265625" style="99" customWidth="1"/>
    <x:col min="7" max="12" width="11.464844" style="99" customWidth="1"/>
    <x:col min="13" max="14" width="11.464844" style="99" hidden="1" customWidth="1"/>
    <x:col min="15" max="15" width="36.796875" style="99" customWidth="1"/>
    <x:col min="16" max="16384" width="11.464844" style="34" customWidth="1"/>
  </x:cols>
  <x:sheetData>
    <x:row r="1" spans="1:87" x14ac:dyDescent="0.5">
      <x:c r="A1" s="33" t="s">
        <x:v>77</x:v>
      </x:c>
      <x:c r="B1" s="83" t="s"/>
      <x:c r="C1" s="83" t="s"/>
      <x:c r="D1" s="98" t="s"/>
    </x:row>
    <x:row r="2" spans="1:87" x14ac:dyDescent="0.5">
      <x:c r="A2" s="33" t="s">
        <x:v>78</x:v>
      </x:c>
      <x:c r="B2" s="269" t="s"/>
      <x:c r="C2" s="269" t="s"/>
      <x:c r="D2" s="98" t="s"/>
    </x:row>
    <x:row r="3" spans="1:87" x14ac:dyDescent="0.5">
      <x:c r="A3" s="33" t="s">
        <x:v>79</x:v>
      </x:c>
      <x:c r="B3" s="83" t="s"/>
      <x:c r="C3" s="83" t="s"/>
      <x:c r="D3" s="98" t="s"/>
    </x:row>
    <x:row r="4" spans="1:87" customFormat="1" ht="16.15" customHeight="1" thickBot="1" x14ac:dyDescent="0.55000000000000004">
      <x:c r="A4" s="34" t="s"/>
      <x:c r="B4" s="34" t="s"/>
      <x:c r="C4" s="34" t="s"/>
    </x:row>
    <x:row r="5" spans="1:87" x14ac:dyDescent="0.5">
      <x:c r="A5" s="280" t="s"/>
      <x:c r="B5" s="281" t="s"/>
      <x:c r="C5" s="281" t="s"/>
      <x:c r="D5" s="282" t="s"/>
      <x:c r="E5" s="283" t="s"/>
      <x:c r="F5" s="284" t="s"/>
      <x:c r="G5" s="285" t="s"/>
      <x:c r="H5" s="286" t="s">
        <x:v>80</x:v>
      </x:c>
      <x:c r="I5" s="285" t="s">
        <x:v>81</x:v>
      </x:c>
      <x:c r="J5" s="285" t="s">
        <x:v>82</x:v>
      </x:c>
      <x:c r="K5" s="285" t="s">
        <x:v>83</x:v>
      </x:c>
      <x:c r="L5" s="287" t="s"/>
      <x:c r="M5" s="288" t="s"/>
      <x:c r="N5" s="288" t="s"/>
      <x:c r="O5" s="289" t="s"/>
    </x:row>
    <x:row r="6" spans="1:87" x14ac:dyDescent="0.5">
      <x:c r="A6" s="290" t="s">
        <x:v>84</x:v>
      </x:c>
      <x:c r="B6" s="291" t="s"/>
      <x:c r="C6" s="291" t="s"/>
      <x:c r="D6" s="291" t="s">
        <x:v>85</x:v>
      </x:c>
      <x:c r="E6" s="292" t="s"/>
      <x:c r="F6" s="293" t="s">
        <x:v>86</x:v>
      </x:c>
      <x:c r="G6" s="294" t="s">
        <x:v>30</x:v>
      </x:c>
      <x:c r="H6" s="294" t="s">
        <x:v>30</x:v>
      </x:c>
      <x:c r="I6" s="294" t="s"/>
      <x:c r="J6" s="294" t="s"/>
      <x:c r="K6" s="295" t="s"/>
      <x:c r="L6" s="296" t="s">
        <x:v>87</x:v>
      </x:c>
      <x:c r="M6" s="297" t="s"/>
      <x:c r="N6" s="297" t="s"/>
      <x:c r="O6" s="298" t="s"/>
    </x:row>
    <x:row r="7" spans="1:87" x14ac:dyDescent="0.5">
      <x:c r="A7" s="299" t="s"/>
      <x:c r="B7" s="300" t="s"/>
      <x:c r="C7" s="300" t="s"/>
      <x:c r="D7" s="301" t="s"/>
      <x:c r="E7" s="302" t="s"/>
      <x:c r="F7" s="293" t="s"/>
      <x:c r="G7" s="295" t="s">
        <x:v>10</x:v>
      </x:c>
      <x:c r="H7" s="295" t="s">
        <x:v>10</x:v>
      </x:c>
      <x:c r="I7" s="295" t="s"/>
      <x:c r="J7" s="295" t="s"/>
      <x:c r="K7" s="295" t="s"/>
      <x:c r="L7" s="296" t="s">
        <x:v>88</x:v>
      </x:c>
      <x:c r="M7" s="297" t="s"/>
      <x:c r="N7" s="297" t="s"/>
      <x:c r="O7" s="298" t="s">
        <x:v>87</x:v>
      </x:c>
    </x:row>
    <x:row r="8" spans="1:87" x14ac:dyDescent="0.5">
      <x:c r="A8" s="299" t="s"/>
      <x:c r="B8" s="300" t="s"/>
      <x:c r="C8" s="300" t="s"/>
      <x:c r="D8" s="291" t="s"/>
      <x:c r="E8" s="302" t="s"/>
      <x:c r="F8" s="303" t="s"/>
      <x:c r="G8" s="304" t="s"/>
      <x:c r="H8" s="295" t="s"/>
      <x:c r="I8" s="295" t="s"/>
      <x:c r="J8" s="295" t="s"/>
      <x:c r="K8" s="295" t="s"/>
      <x:c r="L8" s="296" t="s"/>
      <x:c r="M8" s="297" t="s"/>
      <x:c r="N8" s="297" t="s"/>
      <x:c r="O8" s="298" t="s"/>
    </x:row>
    <x:row r="9" spans="1:87" customFormat="1" ht="16.15" customHeight="1" thickBot="1" x14ac:dyDescent="0.55000000000000004">
      <x:c r="A9" s="305" t="s"/>
      <x:c r="B9" s="306" t="s"/>
      <x:c r="C9" s="306" t="s"/>
      <x:c r="D9" s="307" t="s"/>
      <x:c r="E9" s="308" t="s"/>
      <x:c r="F9" s="309" t="s"/>
      <x:c r="G9" s="310" t="s"/>
      <x:c r="H9" s="310" t="s"/>
      <x:c r="I9" s="310" t="s"/>
      <x:c r="J9" s="310" t="s"/>
      <x:c r="K9" s="310" t="s"/>
      <x:c r="L9" s="311" t="s"/>
      <x:c r="M9" s="312" t="s"/>
      <x:c r="N9" s="312" t="s"/>
      <x:c r="O9" s="313" t="s"/>
    </x:row>
    <x:row r="10" spans="1:87" customFormat="1" ht="16.15" customHeight="1" thickBot="1" x14ac:dyDescent="0.55000000000000004">
      <x:c r="A10" s="69" t="s"/>
      <x:c r="B10" s="70" t="s"/>
      <x:c r="C10" s="70" t="s"/>
      <x:c r="D10" s="71" t="s"/>
      <x:c r="E10" s="72" t="s"/>
      <x:c r="F10" s="73" t="s"/>
      <x:c r="G10" s="74" t="s"/>
      <x:c r="H10" s="74" t="s"/>
      <x:c r="I10" s="74" t="s"/>
      <x:c r="J10" s="74" t="s"/>
      <x:c r="K10" s="74" t="s"/>
      <x:c r="L10" s="75" t="s"/>
      <x:c r="M10" s="75" t="s"/>
      <x:c r="N10" s="75" t="s"/>
      <x:c r="O10" s="76" t="s"/>
    </x:row>
    <x:row r="11" spans="1:87" customFormat="1" ht="16.15" customHeight="1" thickBot="1" x14ac:dyDescent="0.55000000000000004">
      <x:c r="A11" s="114">
        <x:f>IF(O11=0,"",_xlfn.FLOOR.MATH(RANK(N11,$N$11:$N$131)/4+1+SUMPRODUCT(-(-($N$11:$N$131=N11)),-(-(O11&lt;$O$11:$O$131)))/4))</x:f>
      </x:c>
      <x:c r="B11" s="77" t="s">
        <x:v>89</x:v>
      </x:c>
      <x:c r="C11" s="77" t="n">
        <x:v>1</x:v>
      </x:c>
      <x:c r="D11" s="101" t="s"/>
      <x:c r="E11" s="102" t="s"/>
      <x:c r="F11" s="103" t="s"/>
      <x:c r="G11" s="78">
        <x:f>IF($G$6&lt;&gt;"",$G$6,"")</x:f>
      </x:c>
      <x:c r="H11" s="110" t="s"/>
      <x:c r="I11" s="314" t="s"/>
      <x:c r="J11" s="314" t="s"/>
      <x:c r="K11" s="314" t="s"/>
      <x:c r="L11" s="80">
        <x:f>IF(COUNTBLANK(H11:H11)=0,AVERAGE(H11:H11),-0.000001)</x:f>
      </x:c>
      <x:c r="M11" s="81">
        <x:f>IF(COUNTBLANK(H11:K11)=0,1,0)</x:f>
      </x:c>
      <x:c r="N11" s="81">
        <x:f>SUM(M11:M14)</x:f>
      </x:c>
      <x:c r="O11" s="82">
        <x:f>IF(COUNTIF(L11:L14,"&gt;=0"),ROUND(AVERAGEIF(L11:L14,"&gt;=0"),3),0)</x:f>
      </x:c>
    </x:row>
    <x:row r="12" spans="1:87" s="0" customFormat="1" ht="16.15" customHeight="1" thickBot="1" x14ac:dyDescent="0.55000000000000004">
      <x:c r="A12" s="115">
        <x:f>IF(O12=0,"",_xlfn.FLOOR.MATH(RANK(N12,$N$11:$N$131)/4+1+SUMPRODUCT(-(-($N$11:$N$131=N12)),-(-(O12&lt;$O$11:$O$131)))/4))</x:f>
      </x:c>
      <x:c r="B12" s="34" t="s">
        <x:v>89</x:v>
      </x:c>
      <x:c r="C12" s="34" t="n">
        <x:v>2</x:v>
      </x:c>
      <x:c r="D12" s="104" t="s"/>
      <x:c r="E12" s="105" t="s"/>
      <x:c r="F12" s="106" t="s"/>
      <x:c r="G12" s="83">
        <x:f>IF($G$7&lt;&gt;"",$G$7,"")</x:f>
      </x:c>
      <x:c r="H12" s="111" t="s"/>
      <x:c r="I12" s="314" t="s"/>
      <x:c r="J12" s="314" t="s"/>
      <x:c r="K12" s="314" t="s"/>
      <x:c r="L12" s="80">
        <x:f>IF(COUNTBLANK(H12:H12)=0,AVERAGE(H12:H12),-0.000001)</x:f>
      </x:c>
      <x:c r="M12" s="81">
        <x:f>IF(COUNTBLANK(H12:K12)=0,1,0)</x:f>
      </x:c>
      <x:c r="N12" s="84">
        <x:f>SUM(M11:M14)</x:f>
      </x:c>
      <x:c r="O12" s="85">
        <x:f>IF(COUNTIF(L11:L14,"&gt;=0"),ROUND(AVERAGEIF(L11:L14,"&gt;=0"),3),0)</x:f>
      </x:c>
      <x:c r="P12" s="0" t="s"/>
      <x:c r="Q12" s="0" t="s"/>
      <x:c r="R12" s="0" t="s"/>
      <x:c r="S12" s="0" t="s"/>
      <x:c r="T12" s="0" t="s"/>
      <x:c r="U12" s="0" t="s"/>
      <x:c r="V12" s="0" t="s"/>
      <x:c r="W12" s="0" t="s"/>
      <x:c r="X12" s="0" t="s"/>
      <x:c r="Y12" s="0" t="s"/>
      <x:c r="Z12" s="0" t="s"/>
      <x:c r="AA12" s="0" t="s"/>
      <x:c r="AB12" s="0" t="s"/>
      <x:c r="AC12" s="0" t="s"/>
      <x:c r="AD12" s="0" t="s"/>
      <x:c r="AE12" s="0" t="s"/>
      <x:c r="AF12" s="0" t="s"/>
      <x:c r="AG12" s="0" t="s"/>
      <x:c r="AH12" s="0" t="s"/>
      <x:c r="AI12" s="0" t="s"/>
      <x:c r="AJ12" s="0" t="s"/>
      <x:c r="AK12" s="0" t="s"/>
      <x:c r="AL12" s="0" t="s"/>
      <x:c r="AM12" s="0" t="s"/>
      <x:c r="AN12" s="0" t="s"/>
      <x:c r="AO12" s="0" t="s"/>
      <x:c r="AP12" s="0" t="s"/>
      <x:c r="AQ12" s="0" t="s"/>
      <x:c r="AR12" s="0" t="s"/>
      <x:c r="AS12" s="0" t="s"/>
      <x:c r="AT12" s="0" t="s"/>
      <x:c r="AU12" s="0" t="s"/>
      <x:c r="AV12" s="0" t="s"/>
      <x:c r="AW12" s="0" t="s"/>
      <x:c r="AX12" s="0" t="s"/>
      <x:c r="AY12" s="0" t="s"/>
      <x:c r="AZ12" s="0" t="s"/>
      <x:c r="BA12" s="0" t="s"/>
      <x:c r="BB12" s="0" t="s"/>
      <x:c r="BC12" s="0" t="s"/>
      <x:c r="BD12" s="0" t="s"/>
      <x:c r="BE12" s="0" t="s"/>
      <x:c r="BF12" s="0" t="s"/>
      <x:c r="BG12" s="0" t="s"/>
      <x:c r="BH12" s="0" t="s"/>
      <x:c r="BI12" s="0" t="s"/>
      <x:c r="BJ12" s="0" t="s"/>
      <x:c r="BK12" s="0" t="s"/>
      <x:c r="BL12" s="0" t="s"/>
      <x:c r="BM12" s="0" t="s"/>
      <x:c r="BN12" s="0" t="s"/>
      <x:c r="BO12" s="0" t="s"/>
      <x:c r="BP12" s="0" t="s"/>
      <x:c r="BQ12" s="0" t="s"/>
      <x:c r="BR12" s="0" t="s"/>
      <x:c r="BS12" s="0" t="s"/>
      <x:c r="BT12" s="0" t="s"/>
      <x:c r="BU12" s="0" t="s"/>
      <x:c r="BV12" s="0" t="s"/>
      <x:c r="BW12" s="0" t="s"/>
      <x:c r="BX12" s="0" t="s"/>
      <x:c r="BY12" s="0" t="s"/>
      <x:c r="BZ12" s="0" t="s"/>
      <x:c r="CA12" s="0" t="s"/>
      <x:c r="CB12" s="0" t="s"/>
      <x:c r="CC12" s="0" t="s"/>
      <x:c r="CD12" s="0" t="s"/>
      <x:c r="CE12" s="0" t="s"/>
      <x:c r="CF12" s="0" t="s"/>
      <x:c r="CG12" s="0" t="s"/>
      <x:c r="CH12" s="0" t="s"/>
      <x:c r="CI12" s="0" t="s"/>
    </x:row>
    <x:row r="13" spans="1:87" customFormat="1" ht="16.15" customHeight="1" thickBot="1" x14ac:dyDescent="0.55000000000000004">
      <x:c r="A13" s="116">
        <x:f>IF(O13=0,"",_xlfn.FLOOR.MATH(RANK(N13,$N$11:$N$131)/4+1+SUMPRODUCT(-(-($N$11:$N$131=N13)),-(-(O13&lt;$O$11:$O$131)))/4))</x:f>
      </x:c>
      <x:c r="B13" s="34" t="s">
        <x:v>89</x:v>
      </x:c>
      <x:c r="C13" s="34" t="n">
        <x:v>3</x:v>
      </x:c>
      <x:c r="E13" s="105" t="s"/>
      <x:c r="G13" s="86">
        <x:f>IF($G$8&lt;&gt;"",$G$8,"")</x:f>
      </x:c>
      <x:c r="H13" s="112" t="s"/>
      <x:c r="I13" s="87" t="s"/>
      <x:c r="J13" s="87" t="s"/>
      <x:c r="K13" s="87" t="s"/>
      <x:c r="L13" s="80">
        <x:f>IF(COUNTBLANK(H13:H13)=0,AVERAGE(H13:H13),-0.000001)</x:f>
      </x:c>
      <x:c r="M13" s="81">
        <x:f>IF(COUNTBLANK(H13:K13)=0,1,0)</x:f>
      </x:c>
      <x:c r="N13" s="84">
        <x:f>SUM(M11:M14)</x:f>
      </x:c>
      <x:c r="O13" s="89">
        <x:f>IF(COUNTIF(L11:L14,"&gt;=0"),ROUND(AVERAGEIF(L11:L14,"&gt;=0"),3),0)</x:f>
      </x:c>
    </x:row>
    <x:row r="14" spans="1:87" customFormat="1" ht="16.15" customHeight="1" thickBot="1" x14ac:dyDescent="0.55000000000000004">
      <x:c r="A14" s="117">
        <x:f>IF(O14=0,"",_xlfn.FLOOR.MATH(RANK(N14,$N$11:$N$131)/4+1+SUMPRODUCT(-(-($N$11:$N$131=N14)),-(-(O14&lt;$O$11:$O$131)))/4))</x:f>
      </x:c>
      <x:c r="B14" s="74" t="s">
        <x:v>89</x:v>
      </x:c>
      <x:c r="C14" s="74" t="n">
        <x:v>4</x:v>
      </x:c>
      <x:c r="D14" s="107" t="s"/>
      <x:c r="E14" s="108" t="s"/>
      <x:c r="F14" s="109" t="s"/>
      <x:c r="G14" s="90">
        <x:f>IF($G$9&lt;&gt;"",$G$9,"")</x:f>
      </x:c>
      <x:c r="H14" s="113" t="s"/>
      <x:c r="I14" s="91" t="s"/>
      <x:c r="J14" s="91" t="s"/>
      <x:c r="K14" s="91" t="s"/>
      <x:c r="L14" s="93" t="s"/>
      <x:c r="M14" s="81">
        <x:f>IF(COUNTBLANK(H14:K14)=0,1,0)</x:f>
      </x:c>
      <x:c r="N14" s="94">
        <x:f>SUM(M11:M14)</x:f>
      </x:c>
      <x:c r="O14" s="95">
        <x:f>IF(COUNTIF(L11:L14,"&gt;=0"),ROUND(AVERAGEIF(L11:L14,"&gt;=0"),3),0)</x:f>
      </x:c>
    </x:row>
    <x:row r="15" spans="1:87" customFormat="1" ht="16.15" customHeight="1" thickBot="1" x14ac:dyDescent="0.55000000000000004">
      <x:c r="A15" s="114">
        <x:f>IF(O15=0,"",_xlfn.FLOOR.MATH(RANK(N15,$N$11:$N$131)/4+1+SUMPRODUCT(-(-($N$11:$N$131=N15)),-(-(O15&lt;$O$11:$O$131)))/4))</x:f>
      </x:c>
      <x:c r="B15" s="77" t="s">
        <x:v>89</x:v>
      </x:c>
      <x:c r="C15" s="77" t="n">
        <x:v>1</x:v>
      </x:c>
      <x:c r="D15" s="101" t="s"/>
      <x:c r="E15" s="102" t="s"/>
      <x:c r="F15" s="103" t="s"/>
      <x:c r="G15" s="78">
        <x:f>IF($G$6&lt;&gt;"",$G$6,"")</x:f>
      </x:c>
      <x:c r="H15" s="110" t="s"/>
      <x:c r="I15" s="314" t="s"/>
      <x:c r="J15" s="314" t="s"/>
      <x:c r="K15" s="314" t="s"/>
      <x:c r="L15" s="80">
        <x:f>IF(COUNTBLANK(H15:H15)=0,AVERAGE(H15:H15),-0.000001)</x:f>
      </x:c>
      <x:c r="M15" s="81">
        <x:f>IF(COUNTBLANK(H15:K15)=0,1,0)</x:f>
      </x:c>
      <x:c r="N15" s="81">
        <x:f>SUM(M15:M18)</x:f>
      </x:c>
      <x:c r="O15" s="82">
        <x:f>IF(COUNTIF(L15:L18,"&gt;=0"),ROUND(AVERAGEIF(L15:L18,"&gt;=0"),3),0)</x:f>
      </x:c>
    </x:row>
    <x:row r="16" spans="1:87" customFormat="1" ht="16.15" customHeight="1" thickBot="1" x14ac:dyDescent="0.55000000000000004">
      <x:c r="A16" s="115">
        <x:f>IF(O16=0,"",_xlfn.FLOOR.MATH(RANK(N16,$N$11:$N$131)/4+1+SUMPRODUCT(-(-($N$11:$N$131=N16)),-(-(O16&lt;$O$11:$O$131)))/4))</x:f>
      </x:c>
      <x:c r="B16" s="34" t="s">
        <x:v>89</x:v>
      </x:c>
      <x:c r="C16" s="34" t="n">
        <x:v>2</x:v>
      </x:c>
      <x:c r="D16" s="104" t="s"/>
      <x:c r="E16" s="105" t="s"/>
      <x:c r="F16" s="106" t="s"/>
      <x:c r="G16" s="83">
        <x:f>IF($G$7&lt;&gt;"",$G$7,"")</x:f>
      </x:c>
      <x:c r="H16" s="111" t="s"/>
      <x:c r="I16" s="314" t="s"/>
      <x:c r="J16" s="314" t="s"/>
      <x:c r="K16" s="314" t="s"/>
      <x:c r="L16" s="80">
        <x:f>IF(COUNTBLANK(H16:H16)=0,AVERAGE(H16:H16),-0.000001)</x:f>
      </x:c>
      <x:c r="M16" s="81">
        <x:f>IF(COUNTBLANK(H16:K16)=0,1,0)</x:f>
      </x:c>
      <x:c r="N16" s="84">
        <x:f>SUM(M15:M18)</x:f>
      </x:c>
      <x:c r="O16" s="85">
        <x:f>IF(COUNTIF(L15:L18,"&gt;=0"),ROUND(AVERAGEIF(L15:L18,"&gt;=0"),3),0)</x:f>
      </x:c>
    </x:row>
    <x:row r="17" spans="1:87" customFormat="1" ht="16.15" customHeight="1" thickBot="1" x14ac:dyDescent="0.55000000000000004">
      <x:c r="A17" s="116">
        <x:f>IF(O17=0,"",_xlfn.FLOOR.MATH(RANK(N17,$N$11:$N$131)/4+1+SUMPRODUCT(-(-($N$11:$N$131=N17)),-(-(O17&lt;$O$11:$O$131)))/4))</x:f>
      </x:c>
      <x:c r="B17" s="34" t="s">
        <x:v>89</x:v>
      </x:c>
      <x:c r="C17" s="34" t="n">
        <x:v>3</x:v>
      </x:c>
      <x:c r="E17" s="105" t="s"/>
      <x:c r="G17" s="86">
        <x:f>IF($G$8&lt;&gt;"",$G$8,"")</x:f>
      </x:c>
      <x:c r="H17" s="112" t="s"/>
      <x:c r="I17" s="87" t="s"/>
      <x:c r="J17" s="87" t="s"/>
      <x:c r="K17" s="88" t="s"/>
      <x:c r="L17" s="80">
        <x:f>IF(COUNTBLANK(H17:H17)=0,AVERAGE(H17:H17),-0.000001)</x:f>
      </x:c>
      <x:c r="M17" s="81">
        <x:f>IF(COUNTBLANK(H17:K17)=0,1,0)</x:f>
      </x:c>
      <x:c r="N17" s="84">
        <x:f>SUM(M15:M18)</x:f>
      </x:c>
      <x:c r="O17" s="89">
        <x:f>IF(COUNTIF(L15:L18,"&gt;=0"),ROUND(AVERAGEIF(L15:L18,"&gt;=0"),3),0)</x:f>
      </x:c>
    </x:row>
    <x:row r="18" spans="1:87" customFormat="1" ht="16.15" customHeight="1" thickBot="1" x14ac:dyDescent="0.55000000000000004">
      <x:c r="A18" s="117">
        <x:f>IF(O18=0,"",_xlfn.FLOOR.MATH(RANK(N18,$N$11:$N$131)/4+1+SUMPRODUCT(-(-($N$11:$N$131=N18)),-(-(O18&lt;$O$11:$O$131)))/4))</x:f>
      </x:c>
      <x:c r="B18" s="74" t="s">
        <x:v>89</x:v>
      </x:c>
      <x:c r="C18" s="74" t="n">
        <x:v>4</x:v>
      </x:c>
      <x:c r="D18" s="107" t="s"/>
      <x:c r="E18" s="108" t="s"/>
      <x:c r="F18" s="109" t="s"/>
      <x:c r="G18" s="90">
        <x:f>IF($G$9&lt;&gt;"",$G$9,"")</x:f>
      </x:c>
      <x:c r="H18" s="113" t="s"/>
      <x:c r="I18" s="91" t="s"/>
      <x:c r="J18" s="91" t="s"/>
      <x:c r="K18" s="92" t="s"/>
      <x:c r="L18" s="93" t="s"/>
      <x:c r="M18" s="81">
        <x:f>IF(COUNTBLANK(H18:K18)=0,1,0)</x:f>
      </x:c>
      <x:c r="N18" s="94">
        <x:f>SUM(M15:M18)</x:f>
      </x:c>
      <x:c r="O18" s="95">
        <x:f>IF(COUNTIF(L15:L18,"&gt;=0"),ROUND(AVERAGEIF(L15:L18,"&gt;=0"),3),0)</x:f>
      </x:c>
    </x:row>
    <x:row r="19" spans="1:87" customFormat="1" ht="16.15" customHeight="1" thickBot="1" x14ac:dyDescent="0.55000000000000004">
      <x:c r="A19" s="114">
        <x:f>IF(O19=0,"",_xlfn.FLOOR.MATH(RANK(N19,$N$11:$N$131)/4+1+SUMPRODUCT(-(-($N$11:$N$131=N19)),-(-(O19&lt;$O$11:$O$131)))/4))</x:f>
      </x:c>
      <x:c r="B19" s="77" t="s">
        <x:v>89</x:v>
      </x:c>
      <x:c r="C19" s="77" t="n">
        <x:v>1</x:v>
      </x:c>
      <x:c r="D19" s="101" t="s"/>
      <x:c r="E19" s="102" t="s"/>
      <x:c r="F19" s="103" t="s"/>
      <x:c r="G19" s="78">
        <x:f>IF($G$6&lt;&gt;"",$G$6,"")</x:f>
      </x:c>
      <x:c r="H19" s="110" t="s"/>
      <x:c r="I19" s="314" t="s"/>
      <x:c r="J19" s="314" t="s"/>
      <x:c r="K19" s="314" t="s"/>
      <x:c r="L19" s="80">
        <x:f>IF(COUNTBLANK(H19:H19)=0,AVERAGE(H19:H19),-0.000001)</x:f>
      </x:c>
      <x:c r="M19" s="81">
        <x:f>IF(COUNTBLANK(H19:K19)=0,1,0)</x:f>
      </x:c>
      <x:c r="N19" s="81">
        <x:f>SUM(M19:M22)</x:f>
      </x:c>
      <x:c r="O19" s="82">
        <x:f>IF(COUNTIF(L19:L22,"&gt;=0"),ROUND(AVERAGEIF(L19:L22,"&gt;=0"),3),0)</x:f>
      </x:c>
    </x:row>
    <x:row r="20" spans="1:87" customFormat="1" ht="16.15" customHeight="1" thickBot="1" x14ac:dyDescent="0.55000000000000004">
      <x:c r="A20" s="115">
        <x:f>IF(O20=0,"",_xlfn.FLOOR.MATH(RANK(N20,$N$11:$N$131)/4+1+SUMPRODUCT(-(-($N$11:$N$131=N20)),-(-(O20&lt;$O$11:$O$131)))/4))</x:f>
      </x:c>
      <x:c r="B20" s="34" t="s">
        <x:v>89</x:v>
      </x:c>
      <x:c r="C20" s="34" t="n">
        <x:v>2</x:v>
      </x:c>
      <x:c r="D20" s="104" t="s"/>
      <x:c r="E20" s="105" t="s"/>
      <x:c r="F20" s="106" t="s"/>
      <x:c r="G20" s="83">
        <x:f>IF($G$7&lt;&gt;"",$G$7,"")</x:f>
      </x:c>
      <x:c r="H20" s="111" t="s"/>
      <x:c r="I20" s="314" t="s"/>
      <x:c r="J20" s="314" t="s"/>
      <x:c r="K20" s="314" t="s"/>
      <x:c r="L20" s="80">
        <x:f>IF(COUNTBLANK(H20:H20)=0,AVERAGE(H20:H20),-0.000001)</x:f>
      </x:c>
      <x:c r="M20" s="81">
        <x:f>IF(COUNTBLANK(H20:K20)=0,1,0)</x:f>
      </x:c>
      <x:c r="N20" s="84">
        <x:f>SUM(M19:M22)</x:f>
      </x:c>
      <x:c r="O20" s="85">
        <x:f>IF(COUNTIF(L19:L22,"&gt;=0"),ROUND(AVERAGEIF(L19:L22,"&gt;=0"),3),0)</x:f>
      </x:c>
    </x:row>
    <x:row r="21" spans="1:87" customFormat="1" ht="16.15" customHeight="1" thickBot="1" x14ac:dyDescent="0.55000000000000004">
      <x:c r="A21" s="116">
        <x:f>IF(O21=0,"",_xlfn.FLOOR.MATH(RANK(N21,$N$11:$N$131)/4+1+SUMPRODUCT(-(-($N$11:$N$131=N21)),-(-(O21&lt;$O$11:$O$131)))/4))</x:f>
      </x:c>
      <x:c r="B21" s="34" t="s">
        <x:v>89</x:v>
      </x:c>
      <x:c r="C21" s="34" t="n">
        <x:v>3</x:v>
      </x:c>
      <x:c r="E21" s="105" t="s"/>
      <x:c r="G21" s="86">
        <x:f>IF($G$8&lt;&gt;"",$G$8,"")</x:f>
      </x:c>
      <x:c r="H21" s="112" t="s"/>
      <x:c r="I21" s="87" t="s"/>
      <x:c r="J21" s="87" t="s"/>
      <x:c r="K21" s="88" t="s"/>
      <x:c r="L21" s="80">
        <x:f>IF(COUNTBLANK(H21:H21)=0,AVERAGE(H21:H21),-0.000001)</x:f>
      </x:c>
      <x:c r="M21" s="81">
        <x:f>IF(COUNTBLANK(H21:K21)=0,1,0)</x:f>
      </x:c>
      <x:c r="N21" s="84">
        <x:f>SUM(M19:M22)</x:f>
      </x:c>
      <x:c r="O21" s="89">
        <x:f>IF(COUNTIF(L19:L22,"&gt;=0"),ROUND(AVERAGEIF(L19:L22,"&gt;=0"),3),0)</x:f>
      </x:c>
    </x:row>
    <x:row r="22" spans="1:87" customFormat="1" ht="16.15" customHeight="1" thickBot="1" x14ac:dyDescent="0.55000000000000004">
      <x:c r="A22" s="117">
        <x:f>IF(O22=0,"",_xlfn.FLOOR.MATH(RANK(N22,$N$11:$N$131)/4+1+SUMPRODUCT(-(-($N$11:$N$131=N22)),-(-(O22&lt;$O$11:$O$131)))/4))</x:f>
      </x:c>
      <x:c r="B22" s="74" t="s">
        <x:v>89</x:v>
      </x:c>
      <x:c r="C22" s="74" t="n">
        <x:v>4</x:v>
      </x:c>
      <x:c r="D22" s="107" t="s"/>
      <x:c r="E22" s="108" t="s"/>
      <x:c r="F22" s="109" t="s"/>
      <x:c r="G22" s="90">
        <x:f>IF($G$9&lt;&gt;"",$G$9,"")</x:f>
      </x:c>
      <x:c r="H22" s="113" t="s"/>
      <x:c r="I22" s="91" t="s"/>
      <x:c r="J22" s="91" t="s"/>
      <x:c r="K22" s="92" t="s"/>
      <x:c r="L22" s="93" t="s"/>
      <x:c r="M22" s="81">
        <x:f>IF(COUNTBLANK(H22:K22)=0,1,0)</x:f>
      </x:c>
      <x:c r="N22" s="94">
        <x:f>SUM(M19:M22)</x:f>
      </x:c>
      <x:c r="O22" s="95">
        <x:f>IF(COUNTIF(L19:L22,"&gt;=0"),ROUND(AVERAGEIF(L19:L22,"&gt;=0"),3),0)</x:f>
      </x:c>
    </x:row>
    <x:row r="23" spans="1:87" customFormat="1" ht="16.15" customHeight="1" thickBot="1" x14ac:dyDescent="0.55000000000000004">
      <x:c r="A23" s="114">
        <x:f>IF(O23=0,"",_xlfn.FLOOR.MATH(RANK(N23,$N$11:$N$131)/4+1+SUMPRODUCT(-(-($N$11:$N$131=N23)),-(-(O23&lt;$O$11:$O$131)))/4))</x:f>
      </x:c>
      <x:c r="B23" s="77" t="s">
        <x:v>89</x:v>
      </x:c>
      <x:c r="C23" s="77" t="n">
        <x:v>1</x:v>
      </x:c>
      <x:c r="D23" s="101" t="s"/>
      <x:c r="E23" s="102" t="s"/>
      <x:c r="F23" s="103" t="s"/>
      <x:c r="G23" s="78">
        <x:f>IF($G$6&lt;&gt;"",$G$6,"")</x:f>
      </x:c>
      <x:c r="H23" s="110" t="s"/>
      <x:c r="I23" s="314" t="s"/>
      <x:c r="J23" s="314" t="s"/>
      <x:c r="K23" s="314" t="s"/>
      <x:c r="L23" s="80">
        <x:f>IF(COUNTBLANK(H23:H23)=0,AVERAGE(H23:H23),-0.000001)</x:f>
      </x:c>
      <x:c r="M23" s="81">
        <x:f>IF(COUNTBLANK(H23:K23)=0,1,0)</x:f>
      </x:c>
      <x:c r="N23" s="81">
        <x:f>SUM(M23:M26)</x:f>
      </x:c>
      <x:c r="O23" s="82">
        <x:f>IF(COUNTIF(L23:L26,"&gt;=0"),ROUND(AVERAGEIF(L23:L26,"&gt;=0"),3),0)</x:f>
      </x:c>
    </x:row>
    <x:row r="24" spans="1:87" customFormat="1" ht="16.15" customHeight="1" thickBot="1" x14ac:dyDescent="0.55000000000000004">
      <x:c r="A24" s="115">
        <x:f>IF(O24=0,"",_xlfn.FLOOR.MATH(RANK(N24,$N$11:$N$131)/4+1+SUMPRODUCT(-(-($N$11:$N$131=N24)),-(-(O24&lt;$O$11:$O$131)))/4))</x:f>
      </x:c>
      <x:c r="B24" s="34" t="s">
        <x:v>89</x:v>
      </x:c>
      <x:c r="C24" s="34" t="n">
        <x:v>2</x:v>
      </x:c>
      <x:c r="D24" s="104" t="s"/>
      <x:c r="E24" s="105" t="s"/>
      <x:c r="F24" s="106" t="s"/>
      <x:c r="G24" s="83">
        <x:f>IF($G$7&lt;&gt;"",$G$7,"")</x:f>
      </x:c>
      <x:c r="H24" s="111" t="s"/>
      <x:c r="I24" s="314" t="s"/>
      <x:c r="J24" s="314" t="s"/>
      <x:c r="K24" s="314" t="s"/>
      <x:c r="L24" s="80">
        <x:f>IF(COUNTBLANK(H24:H24)=0,AVERAGE(H24:H24),-0.000001)</x:f>
      </x:c>
      <x:c r="M24" s="81">
        <x:f>IF(COUNTBLANK(H24:K24)=0,1,0)</x:f>
      </x:c>
      <x:c r="N24" s="84">
        <x:f>SUM(M23:M26)</x:f>
      </x:c>
      <x:c r="O24" s="85">
        <x:f>IF(COUNTIF(L23:L26,"&gt;=0"),ROUND(AVERAGEIF(L23:L26,"&gt;=0"),3),0)</x:f>
      </x:c>
    </x:row>
    <x:row r="25" spans="1:87" customFormat="1" ht="16.15" customHeight="1" thickBot="1" x14ac:dyDescent="0.55000000000000004">
      <x:c r="A25" s="116">
        <x:f>IF(O25=0,"",_xlfn.FLOOR.MATH(RANK(N25,$N$11:$N$131)/4+1+SUMPRODUCT(-(-($N$11:$N$131=N25)),-(-(O25&lt;$O$11:$O$131)))/4))</x:f>
      </x:c>
      <x:c r="B25" s="34" t="s">
        <x:v>89</x:v>
      </x:c>
      <x:c r="C25" s="34" t="n">
        <x:v>3</x:v>
      </x:c>
      <x:c r="E25" s="105" t="s"/>
      <x:c r="G25" s="86">
        <x:f>IF($G$8&lt;&gt;"",$G$8,"")</x:f>
      </x:c>
      <x:c r="H25" s="112" t="s"/>
      <x:c r="I25" s="87" t="s"/>
      <x:c r="J25" s="87" t="s"/>
      <x:c r="K25" s="88" t="s"/>
      <x:c r="L25" s="80">
        <x:f>IF(COUNTBLANK(H25:H25)=0,AVERAGE(H25:H25),-0.000001)</x:f>
      </x:c>
      <x:c r="M25" s="81">
        <x:f>IF(COUNTBLANK(H25:K25)=0,1,0)</x:f>
      </x:c>
      <x:c r="N25" s="84">
        <x:f>SUM(M23:M26)</x:f>
      </x:c>
      <x:c r="O25" s="89">
        <x:f>IF(COUNTIF(L23:L26,"&gt;=0"),ROUND(AVERAGEIF(L23:L26,"&gt;=0"),3),0)</x:f>
      </x:c>
    </x:row>
    <x:row r="26" spans="1:87" customFormat="1" ht="16.15" customHeight="1" thickBot="1" x14ac:dyDescent="0.55000000000000004">
      <x:c r="A26" s="117">
        <x:f>IF(O26=0,"",_xlfn.FLOOR.MATH(RANK(N26,$N$11:$N$131)/4+1+SUMPRODUCT(-(-($N$11:$N$131=N26)),-(-(O26&lt;$O$11:$O$131)))/4))</x:f>
      </x:c>
      <x:c r="B26" s="74" t="s">
        <x:v>89</x:v>
      </x:c>
      <x:c r="C26" s="74" t="n">
        <x:v>4</x:v>
      </x:c>
      <x:c r="D26" s="107" t="s"/>
      <x:c r="E26" s="108" t="s"/>
      <x:c r="F26" s="109" t="s"/>
      <x:c r="G26" s="90">
        <x:f>IF($G$9&lt;&gt;"",$G$9,"")</x:f>
      </x:c>
      <x:c r="H26" s="113" t="s"/>
      <x:c r="I26" s="91" t="s"/>
      <x:c r="J26" s="91" t="s"/>
      <x:c r="K26" s="92" t="s"/>
      <x:c r="L26" s="93" t="s"/>
      <x:c r="M26" s="81">
        <x:f>IF(COUNTBLANK(H26:K26)=0,1,0)</x:f>
      </x:c>
      <x:c r="N26" s="94">
        <x:f>SUM(M23:M26)</x:f>
      </x:c>
      <x:c r="O26" s="95">
        <x:f>IF(COUNTIF(L23:L26,"&gt;=0"),ROUND(AVERAGEIF(L23:L26,"&gt;=0"),3),0)</x:f>
      </x:c>
    </x:row>
    <x:row r="27" spans="1:87" customFormat="1" ht="16.15" customHeight="1" thickBot="1" x14ac:dyDescent="0.55000000000000004">
      <x:c r="A27" s="114">
        <x:f>IF(O27=0,"",_xlfn.FLOOR.MATH(RANK(N27,$N$11:$N$131)/4+1+SUMPRODUCT(-(-($N$11:$N$131=N27)),-(-(O27&lt;$O$11:$O$131)))/4))</x:f>
      </x:c>
      <x:c r="B27" s="77" t="s">
        <x:v>89</x:v>
      </x:c>
      <x:c r="C27" s="77" t="n">
        <x:v>1</x:v>
      </x:c>
      <x:c r="D27" s="101" t="s"/>
      <x:c r="E27" s="102" t="s"/>
      <x:c r="F27" s="103" t="s"/>
      <x:c r="G27" s="78">
        <x:f>IF($G$6&lt;&gt;"",$G$6,"")</x:f>
      </x:c>
      <x:c r="H27" s="110" t="s"/>
      <x:c r="I27" s="314" t="s"/>
      <x:c r="J27" s="314" t="s"/>
      <x:c r="K27" s="314" t="s"/>
      <x:c r="L27" s="80">
        <x:f>IF(COUNTBLANK(H27:H27)=0,AVERAGE(H27:H27),-0.000001)</x:f>
      </x:c>
      <x:c r="M27" s="81">
        <x:f>IF(COUNTBLANK(H27:K27)=0,1,0)</x:f>
      </x:c>
      <x:c r="N27" s="81">
        <x:f>SUM(M27:M30)</x:f>
      </x:c>
      <x:c r="O27" s="82">
        <x:f>IF(COUNTIF(L27:L30,"&gt;=0"),ROUND(AVERAGEIF(L27:L30,"&gt;=0"),3),0)</x:f>
      </x:c>
    </x:row>
    <x:row r="28" spans="1:87" customFormat="1" ht="16.15" customHeight="1" thickBot="1" x14ac:dyDescent="0.55000000000000004">
      <x:c r="A28" s="115">
        <x:f>IF(O28=0,"",_xlfn.FLOOR.MATH(RANK(N28,$N$11:$N$131)/4+1+SUMPRODUCT(-(-($N$11:$N$131=N28)),-(-(O28&lt;$O$11:$O$131)))/4))</x:f>
      </x:c>
      <x:c r="B28" s="34" t="s">
        <x:v>89</x:v>
      </x:c>
      <x:c r="C28" s="34" t="n">
        <x:v>2</x:v>
      </x:c>
      <x:c r="D28" s="104" t="s"/>
      <x:c r="E28" s="105" t="s"/>
      <x:c r="F28" s="106" t="s"/>
      <x:c r="G28" s="83">
        <x:f>IF($G$7&lt;&gt;"",$G$7,"")</x:f>
      </x:c>
      <x:c r="H28" s="111" t="s"/>
      <x:c r="I28" s="314" t="s"/>
      <x:c r="J28" s="314" t="s"/>
      <x:c r="K28" s="314" t="s"/>
      <x:c r="L28" s="80">
        <x:f>IF(COUNTBLANK(H28:H28)=0,AVERAGE(H28:H28),-0.000001)</x:f>
      </x:c>
      <x:c r="M28" s="81">
        <x:f>IF(COUNTBLANK(H28:K28)=0,1,0)</x:f>
      </x:c>
      <x:c r="N28" s="84">
        <x:f>SUM(M27:M30)</x:f>
      </x:c>
      <x:c r="O28" s="85">
        <x:f>IF(COUNTIF(L27:L30,"&gt;=0"),ROUND(AVERAGEIF(L27:L30,"&gt;=0"),3),0)</x:f>
      </x:c>
    </x:row>
    <x:row r="29" spans="1:87" customFormat="1" ht="16.15" customHeight="1" thickBot="1" x14ac:dyDescent="0.55000000000000004">
      <x:c r="A29" s="116">
        <x:f>IF(O29=0,"",_xlfn.FLOOR.MATH(RANK(N29,$N$11:$N$131)/4+1+SUMPRODUCT(-(-($N$11:$N$131=N29)),-(-(O29&lt;$O$11:$O$131)))/4))</x:f>
      </x:c>
      <x:c r="B29" s="34" t="s">
        <x:v>89</x:v>
      </x:c>
      <x:c r="C29" s="34" t="n">
        <x:v>3</x:v>
      </x:c>
      <x:c r="E29" s="105" t="s"/>
      <x:c r="G29" s="86">
        <x:f>IF($G$8&lt;&gt;"",$G$8,"")</x:f>
      </x:c>
      <x:c r="H29" s="112" t="s"/>
      <x:c r="I29" s="87" t="s"/>
      <x:c r="J29" s="87" t="s"/>
      <x:c r="K29" s="88" t="s"/>
      <x:c r="L29" s="80">
        <x:f>IF(COUNTBLANK(H29:H29)=0,AVERAGE(H29:H29),-0.000001)</x:f>
      </x:c>
      <x:c r="M29" s="81">
        <x:f>IF(COUNTBLANK(H29:K29)=0,1,0)</x:f>
      </x:c>
      <x:c r="N29" s="84">
        <x:f>SUM(M27:M30)</x:f>
      </x:c>
      <x:c r="O29" s="89">
        <x:f>IF(COUNTIF(L27:L30,"&gt;=0"),ROUND(AVERAGEIF(L27:L30,"&gt;=0"),3),0)</x:f>
      </x:c>
    </x:row>
    <x:row r="30" spans="1:87" customFormat="1" ht="16.15" customHeight="1" thickBot="1" x14ac:dyDescent="0.55000000000000004">
      <x:c r="A30" s="117">
        <x:f>IF(O30=0,"",_xlfn.FLOOR.MATH(RANK(N30,$N$11:$N$131)/4+1+SUMPRODUCT(-(-($N$11:$N$131=N30)),-(-(O30&lt;$O$11:$O$131)))/4))</x:f>
      </x:c>
      <x:c r="B30" s="74" t="s">
        <x:v>89</x:v>
      </x:c>
      <x:c r="C30" s="74" t="n">
        <x:v>4</x:v>
      </x:c>
      <x:c r="D30" s="107" t="s"/>
      <x:c r="E30" s="108" t="s"/>
      <x:c r="F30" s="109" t="s"/>
      <x:c r="G30" s="90">
        <x:f>IF($G$9&lt;&gt;"",$G$9,"")</x:f>
      </x:c>
      <x:c r="H30" s="113" t="s"/>
      <x:c r="I30" s="91" t="s"/>
      <x:c r="J30" s="91" t="s"/>
      <x:c r="K30" s="92" t="s"/>
      <x:c r="L30" s="93" t="s"/>
      <x:c r="M30" s="81">
        <x:f>IF(COUNTBLANK(H30:K30)=0,1,0)</x:f>
      </x:c>
      <x:c r="N30" s="94">
        <x:f>SUM(M27:M30)</x:f>
      </x:c>
      <x:c r="O30" s="95">
        <x:f>IF(COUNTIF(L27:L30,"&gt;=0"),ROUND(AVERAGEIF(L27:L30,"&gt;=0"),3),0)</x:f>
      </x:c>
    </x:row>
    <x:row r="31" spans="1:87" customFormat="1" ht="16.15" customHeight="1" thickBot="1" x14ac:dyDescent="0.55000000000000004">
      <x:c r="A31" s="114">
        <x:f>IF(O31=0,"",_xlfn.FLOOR.MATH(RANK(N31,$N$11:$N$131)/4+1+SUMPRODUCT(-(-($N$11:$N$131=N31)),-(-(O31&lt;$O$11:$O$131)))/4))</x:f>
      </x:c>
      <x:c r="B31" s="77" t="s">
        <x:v>89</x:v>
      </x:c>
      <x:c r="C31" s="77" t="n">
        <x:v>1</x:v>
      </x:c>
      <x:c r="D31" s="101" t="s"/>
      <x:c r="E31" s="102" t="s"/>
      <x:c r="F31" s="103" t="s"/>
      <x:c r="G31" s="78">
        <x:f>IF($G$6&lt;&gt;"",$G$6,"")</x:f>
      </x:c>
      <x:c r="H31" s="110" t="s"/>
      <x:c r="I31" s="314" t="s"/>
      <x:c r="J31" s="314" t="s"/>
      <x:c r="K31" s="314" t="s"/>
      <x:c r="L31" s="80">
        <x:f>IF(COUNTBLANK(H31:H31)=0,AVERAGE(H31:H31),-0.000001)</x:f>
      </x:c>
      <x:c r="M31" s="81">
        <x:f>IF(COUNTBLANK(H31:K31)=0,1,0)</x:f>
      </x:c>
      <x:c r="N31" s="81">
        <x:f>SUM(M31:M34)</x:f>
      </x:c>
      <x:c r="O31" s="82">
        <x:f>IF(COUNTIF(L31:L34,"&gt;=0"),ROUND(AVERAGEIF(L31:L34,"&gt;=0"),3),0)</x:f>
      </x:c>
    </x:row>
    <x:row r="32" spans="1:87" customFormat="1" ht="16.15" customHeight="1" thickBot="1" x14ac:dyDescent="0.55000000000000004">
      <x:c r="A32" s="115">
        <x:f>IF(O32=0,"",_xlfn.FLOOR.MATH(RANK(N32,$N$11:$N$131)/4+1+SUMPRODUCT(-(-($N$11:$N$131=N32)),-(-(O32&lt;$O$11:$O$131)))/4))</x:f>
      </x:c>
      <x:c r="B32" s="34" t="s">
        <x:v>89</x:v>
      </x:c>
      <x:c r="C32" s="34" t="n">
        <x:v>2</x:v>
      </x:c>
      <x:c r="D32" s="104" t="s"/>
      <x:c r="E32" s="105" t="s"/>
      <x:c r="F32" s="106" t="s"/>
      <x:c r="G32" s="83">
        <x:f>IF($G$7&lt;&gt;"",$G$7,"")</x:f>
      </x:c>
      <x:c r="H32" s="111" t="s"/>
      <x:c r="I32" s="314" t="s"/>
      <x:c r="J32" s="314" t="s"/>
      <x:c r="K32" s="314" t="s"/>
      <x:c r="L32" s="80">
        <x:f>IF(COUNTBLANK(H32:H32)=0,AVERAGE(H32:H32),-0.000001)</x:f>
      </x:c>
      <x:c r="M32" s="81">
        <x:f>IF(COUNTBLANK(H32:K32)=0,1,0)</x:f>
      </x:c>
      <x:c r="N32" s="84">
        <x:f>SUM(M31:M34)</x:f>
      </x:c>
      <x:c r="O32" s="85">
        <x:f>IF(COUNTIF(L31:L34,"&gt;=0"),ROUND(AVERAGEIF(L31:L34,"&gt;=0"),3),0)</x:f>
      </x:c>
    </x:row>
    <x:row r="33" spans="1:87" customFormat="1" ht="16.15" customHeight="1" thickBot="1" x14ac:dyDescent="0.55000000000000004">
      <x:c r="A33" s="116">
        <x:f>IF(O33=0,"",_xlfn.FLOOR.MATH(RANK(N33,$N$11:$N$131)/4+1+SUMPRODUCT(-(-($N$11:$N$131=N33)),-(-(O33&lt;$O$11:$O$131)))/4))</x:f>
      </x:c>
      <x:c r="B33" s="34" t="s">
        <x:v>89</x:v>
      </x:c>
      <x:c r="C33" s="34" t="n">
        <x:v>3</x:v>
      </x:c>
      <x:c r="E33" s="105" t="s"/>
      <x:c r="G33" s="86">
        <x:f>IF($G$8&lt;&gt;"",$G$8,"")</x:f>
      </x:c>
      <x:c r="H33" s="112" t="s"/>
      <x:c r="I33" s="87" t="s"/>
      <x:c r="J33" s="87" t="s"/>
      <x:c r="K33" s="87" t="s"/>
      <x:c r="L33" s="80">
        <x:f>IF(COUNTBLANK(H33:H33)=0,AVERAGE(H33:H33),-0.000001)</x:f>
      </x:c>
      <x:c r="M33" s="81">
        <x:f>IF(COUNTBLANK(H33:K33)=0,1,0)</x:f>
      </x:c>
      <x:c r="N33" s="84">
        <x:f>SUM(M31:M34)</x:f>
      </x:c>
      <x:c r="O33" s="89">
        <x:f>IF(COUNTIF(L31:L34,"&gt;=0"),ROUND(AVERAGEIF(L31:L34,"&gt;=0"),3),0)</x:f>
      </x:c>
    </x:row>
    <x:row r="34" spans="1:87" customFormat="1" ht="16.15" customHeight="1" thickBot="1" x14ac:dyDescent="0.55000000000000004">
      <x:c r="A34" s="117">
        <x:f>IF(O34=0,"",_xlfn.FLOOR.MATH(RANK(N34,$N$11:$N$131)/4+1+SUMPRODUCT(-(-($N$11:$N$131=N34)),-(-(O34&lt;$O$11:$O$131)))/4))</x:f>
      </x:c>
      <x:c r="B34" s="74" t="s">
        <x:v>89</x:v>
      </x:c>
      <x:c r="C34" s="74" t="n">
        <x:v>4</x:v>
      </x:c>
      <x:c r="D34" s="107" t="s"/>
      <x:c r="E34" s="108" t="s"/>
      <x:c r="F34" s="109" t="s"/>
      <x:c r="G34" s="90">
        <x:f>IF($G$9&lt;&gt;"",$G$9,"")</x:f>
      </x:c>
      <x:c r="H34" s="113" t="s"/>
      <x:c r="I34" s="91" t="s"/>
      <x:c r="J34" s="91" t="s"/>
      <x:c r="K34" s="91" t="s"/>
      <x:c r="L34" s="93" t="s"/>
      <x:c r="M34" s="81">
        <x:f>IF(COUNTBLANK(H34:K34)=0,1,0)</x:f>
      </x:c>
      <x:c r="N34" s="94">
        <x:f>SUM(M31:M34)</x:f>
      </x:c>
      <x:c r="O34" s="95">
        <x:f>IF(COUNTIF(L31:L34,"&gt;=0"),ROUND(AVERAGEIF(L31:L34,"&gt;=0"),3),0)</x:f>
      </x:c>
    </x:row>
    <x:row r="35" spans="1:87" customFormat="1" ht="16.15" customHeight="1" thickBot="1" x14ac:dyDescent="0.55000000000000004">
      <x:c r="A35" s="114">
        <x:f>IF(O35=0,"",_xlfn.FLOOR.MATH(RANK(N35,$N$11:$N$131)/4+1+SUMPRODUCT(-(-($N$11:$N$131=N35)),-(-(O35&lt;$O$11:$O$131)))/4))</x:f>
      </x:c>
      <x:c r="B35" s="77" t="s">
        <x:v>89</x:v>
      </x:c>
      <x:c r="C35" s="77" t="n">
        <x:v>1</x:v>
      </x:c>
      <x:c r="D35" s="101" t="s"/>
      <x:c r="E35" s="102" t="s"/>
      <x:c r="F35" s="103" t="s"/>
      <x:c r="G35" s="78">
        <x:f>IF($G$6&lt;&gt;"",$G$6,"")</x:f>
      </x:c>
      <x:c r="H35" s="110" t="s"/>
      <x:c r="I35" s="314" t="s"/>
      <x:c r="J35" s="314" t="s"/>
      <x:c r="K35" s="314" t="s"/>
      <x:c r="L35" s="80">
        <x:f>IF(COUNTBLANK(H35:H35)=0,AVERAGE(H35:H35),-0.000001)</x:f>
      </x:c>
      <x:c r="M35" s="81">
        <x:f>IF(COUNTBLANK(H35:K35)=0,1,0)</x:f>
      </x:c>
      <x:c r="N35" s="81">
        <x:f>SUM(M35:M38)</x:f>
      </x:c>
      <x:c r="O35" s="82">
        <x:f>IF(COUNTIF(L35:L38,"&gt;=0"),ROUND(AVERAGEIF(L35:L38,"&gt;=0"),3),0)</x:f>
      </x:c>
    </x:row>
    <x:row r="36" spans="1:87" customFormat="1" ht="16.15" customHeight="1" thickBot="1" x14ac:dyDescent="0.55000000000000004">
      <x:c r="A36" s="115">
        <x:f>IF(O36=0,"",_xlfn.FLOOR.MATH(RANK(N36,$N$11:$N$131)/4+1+SUMPRODUCT(-(-($N$11:$N$131=N36)),-(-(O36&lt;$O$11:$O$131)))/4))</x:f>
      </x:c>
      <x:c r="B36" s="34" t="s">
        <x:v>89</x:v>
      </x:c>
      <x:c r="C36" s="34" t="n">
        <x:v>2</x:v>
      </x:c>
      <x:c r="D36" s="104" t="s"/>
      <x:c r="E36" s="105" t="s"/>
      <x:c r="F36" s="106" t="s"/>
      <x:c r="G36" s="83">
        <x:f>IF($G$7&lt;&gt;"",$G$7,"")</x:f>
      </x:c>
      <x:c r="H36" s="111" t="s"/>
      <x:c r="I36" s="314" t="s"/>
      <x:c r="J36" s="314" t="s"/>
      <x:c r="K36" s="314" t="s"/>
      <x:c r="L36" s="80">
        <x:f>IF(COUNTBLANK(H36:H36)=0,AVERAGE(H36:H36),-0.000001)</x:f>
      </x:c>
      <x:c r="M36" s="81">
        <x:f>IF(COUNTBLANK(H36:K36)=0,1,0)</x:f>
      </x:c>
      <x:c r="N36" s="84">
        <x:f>SUM(M35:M38)</x:f>
      </x:c>
      <x:c r="O36" s="85">
        <x:f>IF(COUNTIF(L35:L38,"&gt;=0"),ROUND(AVERAGEIF(L35:L38,"&gt;=0"),3),0)</x:f>
      </x:c>
    </x:row>
    <x:row r="37" spans="1:87" customFormat="1" ht="16.15" customHeight="1" thickBot="1" x14ac:dyDescent="0.55000000000000004">
      <x:c r="A37" s="116">
        <x:f>IF(O37=0,"",_xlfn.FLOOR.MATH(RANK(N37,$N$11:$N$131)/4+1+SUMPRODUCT(-(-($N$11:$N$131=N37)),-(-(O37&lt;$O$11:$O$131)))/4))</x:f>
      </x:c>
      <x:c r="B37" s="34" t="s">
        <x:v>89</x:v>
      </x:c>
      <x:c r="C37" s="34" t="n">
        <x:v>3</x:v>
      </x:c>
      <x:c r="E37" s="105" t="s"/>
      <x:c r="G37" s="86">
        <x:f>IF($G$8&lt;&gt;"",$G$8,"")</x:f>
      </x:c>
      <x:c r="H37" s="112" t="s"/>
      <x:c r="I37" s="87" t="s"/>
      <x:c r="J37" s="87" t="s"/>
      <x:c r="K37" s="87" t="s"/>
      <x:c r="L37" s="80">
        <x:f>IF(COUNTBLANK(H37:H37)=0,AVERAGE(H37:H37),-0.000001)</x:f>
      </x:c>
      <x:c r="M37" s="81">
        <x:f>IF(COUNTBLANK(H37:K37)=0,1,0)</x:f>
      </x:c>
      <x:c r="N37" s="84">
        <x:f>SUM(M35:M38)</x:f>
      </x:c>
      <x:c r="O37" s="89">
        <x:f>IF(COUNTIF(L35:L38,"&gt;=0"),ROUND(AVERAGEIF(L35:L38,"&gt;=0"),3),0)</x:f>
      </x:c>
    </x:row>
    <x:row r="38" spans="1:87" customFormat="1" ht="16.15" customHeight="1" thickBot="1" x14ac:dyDescent="0.55000000000000004">
      <x:c r="A38" s="117">
        <x:f>IF(O38=0,"",_xlfn.FLOOR.MATH(RANK(N38,$N$11:$N$131)/4+1+SUMPRODUCT(-(-($N$11:$N$131=N38)),-(-(O38&lt;$O$11:$O$131)))/4))</x:f>
      </x:c>
      <x:c r="B38" s="74" t="s">
        <x:v>89</x:v>
      </x:c>
      <x:c r="C38" s="74" t="n">
        <x:v>4</x:v>
      </x:c>
      <x:c r="D38" s="107" t="s"/>
      <x:c r="E38" s="108" t="s"/>
      <x:c r="F38" s="109" t="s"/>
      <x:c r="G38" s="90">
        <x:f>IF($G$9&lt;&gt;"",$G$9,"")</x:f>
      </x:c>
      <x:c r="H38" s="113" t="s"/>
      <x:c r="I38" s="91" t="s"/>
      <x:c r="J38" s="91" t="s"/>
      <x:c r="K38" s="91" t="s"/>
      <x:c r="L38" s="93" t="s"/>
      <x:c r="M38" s="81">
        <x:f>IF(COUNTBLANK(H38:K38)=0,1,0)</x:f>
      </x:c>
      <x:c r="N38" s="94">
        <x:f>SUM(M35:M38)</x:f>
      </x:c>
      <x:c r="O38" s="95">
        <x:f>IF(COUNTIF(L35:L38,"&gt;=0"),ROUND(AVERAGEIF(L35:L38,"&gt;=0"),3),0)</x:f>
      </x:c>
    </x:row>
    <x:row r="39" spans="1:87" customFormat="1" ht="16.15" customHeight="1" thickBot="1" x14ac:dyDescent="0.55000000000000004">
      <x:c r="A39" s="114">
        <x:f>IF(O39=0,"",_xlfn.FLOOR.MATH(RANK(N39,$N$11:$N$131)/4+1+SUMPRODUCT(-(-($N$11:$N$131=N39)),-(-(O39&lt;$O$11:$O$131)))/4))</x:f>
      </x:c>
      <x:c r="B39" s="77" t="s">
        <x:v>89</x:v>
      </x:c>
      <x:c r="C39" s="77" t="n">
        <x:v>1</x:v>
      </x:c>
      <x:c r="D39" s="101" t="s"/>
      <x:c r="E39" s="102" t="s"/>
      <x:c r="F39" s="103" t="s"/>
      <x:c r="G39" s="78">
        <x:f>IF($G$6&lt;&gt;"",$G$6,"")</x:f>
      </x:c>
      <x:c r="H39" s="110" t="s"/>
      <x:c r="I39" s="314" t="s"/>
      <x:c r="J39" s="314" t="s"/>
      <x:c r="K39" s="314" t="s"/>
      <x:c r="L39" s="80">
        <x:f>IF(COUNTBLANK(H39:H39)=0,AVERAGE(H39:H39),-0.000001)</x:f>
      </x:c>
      <x:c r="M39" s="81">
        <x:f>IF(COUNTBLANK(H39:K39)=0,1,0)</x:f>
      </x:c>
      <x:c r="N39" s="81">
        <x:f>SUM(M39:M42)</x:f>
      </x:c>
      <x:c r="O39" s="82">
        <x:f>IF(COUNTIF(L39:L42,"&gt;=0"),ROUND(AVERAGEIF(L39:L42,"&gt;=0"),3),0)</x:f>
      </x:c>
    </x:row>
    <x:row r="40" spans="1:87" customFormat="1" ht="16.15" customHeight="1" thickBot="1" x14ac:dyDescent="0.55000000000000004">
      <x:c r="A40" s="115">
        <x:f>IF(O40=0,"",_xlfn.FLOOR.MATH(RANK(N40,$N$11:$N$131)/4+1+SUMPRODUCT(-(-($N$11:$N$131=N40)),-(-(O40&lt;$O$11:$O$131)))/4))</x:f>
      </x:c>
      <x:c r="B40" s="34" t="s">
        <x:v>89</x:v>
      </x:c>
      <x:c r="C40" s="34" t="n">
        <x:v>2</x:v>
      </x:c>
      <x:c r="D40" s="104" t="s"/>
      <x:c r="E40" s="105" t="s"/>
      <x:c r="F40" s="106" t="s"/>
      <x:c r="G40" s="83">
        <x:f>IF($G$7&lt;&gt;"",$G$7,"")</x:f>
      </x:c>
      <x:c r="H40" s="111" t="s"/>
      <x:c r="I40" s="314" t="s"/>
      <x:c r="J40" s="314" t="s"/>
      <x:c r="K40" s="314" t="s"/>
      <x:c r="L40" s="80">
        <x:f>IF(COUNTBLANK(H40:H40)=0,AVERAGE(H40:H40),-0.000001)</x:f>
      </x:c>
      <x:c r="M40" s="81">
        <x:f>IF(COUNTBLANK(H40:K40)=0,1,0)</x:f>
      </x:c>
      <x:c r="N40" s="84">
        <x:f>SUM(M39:M42)</x:f>
      </x:c>
      <x:c r="O40" s="85">
        <x:f>IF(COUNTIF(L39:L42,"&gt;=0"),ROUND(AVERAGEIF(L39:L42,"&gt;=0"),3),0)</x:f>
      </x:c>
    </x:row>
    <x:row r="41" spans="1:87" customFormat="1" ht="16.15" customHeight="1" thickBot="1" x14ac:dyDescent="0.55000000000000004">
      <x:c r="A41" s="116">
        <x:f>IF(O41=0,"",_xlfn.FLOOR.MATH(RANK(N41,$N$11:$N$131)/4+1+SUMPRODUCT(-(-($N$11:$N$131=N41)),-(-(O41&lt;$O$11:$O$131)))/4))</x:f>
      </x:c>
      <x:c r="B41" s="34" t="s">
        <x:v>89</x:v>
      </x:c>
      <x:c r="C41" s="34" t="n">
        <x:v>3</x:v>
      </x:c>
      <x:c r="E41" s="105" t="s"/>
      <x:c r="G41" s="86">
        <x:f>IF($G$8&lt;&gt;"",$G$8,"")</x:f>
      </x:c>
      <x:c r="H41" s="112" t="s"/>
      <x:c r="I41" s="87" t="s"/>
      <x:c r="J41" s="87" t="s"/>
      <x:c r="K41" s="87" t="s"/>
      <x:c r="L41" s="80">
        <x:f>IF(COUNTBLANK(H41:H41)=0,AVERAGE(H41:H41),-0.000001)</x:f>
      </x:c>
      <x:c r="M41" s="81">
        <x:f>IF(COUNTBLANK(H41:K41)=0,1,0)</x:f>
      </x:c>
      <x:c r="N41" s="84">
        <x:f>SUM(M39:M42)</x:f>
      </x:c>
      <x:c r="O41" s="89">
        <x:f>IF(COUNTIF(L39:L42,"&gt;=0"),ROUND(AVERAGEIF(L39:L42,"&gt;=0"),3),0)</x:f>
      </x:c>
    </x:row>
    <x:row r="42" spans="1:87" customFormat="1" ht="16.15" customHeight="1" thickBot="1" x14ac:dyDescent="0.55000000000000004">
      <x:c r="A42" s="117">
        <x:f>IF(O42=0,"",_xlfn.FLOOR.MATH(RANK(N42,$N$11:$N$131)/4+1+SUMPRODUCT(-(-($N$11:$N$131=N42)),-(-(O42&lt;$O$11:$O$131)))/4))</x:f>
      </x:c>
      <x:c r="B42" s="74" t="s">
        <x:v>89</x:v>
      </x:c>
      <x:c r="C42" s="74" t="n">
        <x:v>4</x:v>
      </x:c>
      <x:c r="D42" s="107" t="s"/>
      <x:c r="E42" s="108" t="s"/>
      <x:c r="F42" s="109" t="s"/>
      <x:c r="G42" s="90">
        <x:f>IF($G$9&lt;&gt;"",$G$9,"")</x:f>
      </x:c>
      <x:c r="H42" s="113" t="s"/>
      <x:c r="I42" s="91" t="s"/>
      <x:c r="J42" s="91" t="s"/>
      <x:c r="K42" s="91" t="s"/>
      <x:c r="L42" s="93" t="s"/>
      <x:c r="M42" s="81">
        <x:f>IF(COUNTBLANK(H42:K42)=0,1,0)</x:f>
      </x:c>
      <x:c r="N42" s="94">
        <x:f>SUM(M39:M42)</x:f>
      </x:c>
      <x:c r="O42" s="95">
        <x:f>IF(COUNTIF(L39:L42,"&gt;=0"),ROUND(AVERAGEIF(L39:L42,"&gt;=0"),3),0)</x:f>
      </x:c>
    </x:row>
    <x:row r="43" spans="1:87" customFormat="1" ht="16.15" customHeight="1" thickBot="1" x14ac:dyDescent="0.55000000000000004">
      <x:c r="A43" s="114">
        <x:f>IF(O43=0,"",_xlfn.FLOOR.MATH(RANK(N43,$N$11:$N$131)/4+1+SUMPRODUCT(-(-($N$11:$N$131=N43)),-(-(O43&lt;$O$11:$O$131)))/4))</x:f>
      </x:c>
      <x:c r="B43" s="77" t="s">
        <x:v>89</x:v>
      </x:c>
      <x:c r="C43" s="77" t="n">
        <x:v>1</x:v>
      </x:c>
      <x:c r="D43" s="101" t="s"/>
      <x:c r="E43" s="102" t="s"/>
      <x:c r="F43" s="103" t="s"/>
      <x:c r="G43" s="78">
        <x:f>IF($G$6&lt;&gt;"",$G$6,"")</x:f>
      </x:c>
      <x:c r="H43" s="110" t="s"/>
      <x:c r="I43" s="314" t="s"/>
      <x:c r="J43" s="314" t="s"/>
      <x:c r="K43" s="314" t="s"/>
      <x:c r="L43" s="80">
        <x:f>IF(COUNTBLANK(H43:H43)=0,AVERAGE(H43:H43),-0.000001)</x:f>
      </x:c>
      <x:c r="M43" s="81">
        <x:f>IF(COUNTBLANK(H43:K43)=0,1,0)</x:f>
      </x:c>
      <x:c r="N43" s="81">
        <x:f>SUM(M43:M46)</x:f>
      </x:c>
      <x:c r="O43" s="82">
        <x:f>IF(COUNTIF(L43:L46,"&gt;=0"),ROUND(AVERAGEIF(L43:L46,"&gt;=0"),3),0)</x:f>
      </x:c>
    </x:row>
    <x:row r="44" spans="1:87" customFormat="1" ht="16.15" customHeight="1" thickBot="1" x14ac:dyDescent="0.55000000000000004">
      <x:c r="A44" s="115">
        <x:f>IF(O44=0,"",_xlfn.FLOOR.MATH(RANK(N44,$N$11:$N$131)/4+1+SUMPRODUCT(-(-($N$11:$N$131=N44)),-(-(O44&lt;$O$11:$O$131)))/4))</x:f>
      </x:c>
      <x:c r="B44" s="34" t="s">
        <x:v>89</x:v>
      </x:c>
      <x:c r="C44" s="34" t="n">
        <x:v>2</x:v>
      </x:c>
      <x:c r="D44" s="104" t="s"/>
      <x:c r="E44" s="105" t="s"/>
      <x:c r="F44" s="106" t="s"/>
      <x:c r="G44" s="83">
        <x:f>IF($G$7&lt;&gt;"",$G$7,"")</x:f>
      </x:c>
      <x:c r="H44" s="111" t="s"/>
      <x:c r="I44" s="314" t="s"/>
      <x:c r="J44" s="314" t="s"/>
      <x:c r="K44" s="314" t="s"/>
      <x:c r="L44" s="80">
        <x:f>IF(COUNTBLANK(H44:H44)=0,AVERAGE(H44:H44),-0.000001)</x:f>
      </x:c>
      <x:c r="M44" s="81">
        <x:f>IF(COUNTBLANK(H44:K44)=0,1,0)</x:f>
      </x:c>
      <x:c r="N44" s="84">
        <x:f>SUM(M43:M46)</x:f>
      </x:c>
      <x:c r="O44" s="85">
        <x:f>IF(COUNTIF(L43:L46,"&gt;=0"),ROUND(AVERAGEIF(L43:L46,"&gt;=0"),3),0)</x:f>
      </x:c>
    </x:row>
    <x:row r="45" spans="1:87" customFormat="1" ht="16.15" customHeight="1" thickBot="1" x14ac:dyDescent="0.55000000000000004">
      <x:c r="A45" s="116">
        <x:f>IF(O45=0,"",_xlfn.FLOOR.MATH(RANK(N45,$N$11:$N$131)/4+1+SUMPRODUCT(-(-($N$11:$N$131=N45)),-(-(O45&lt;$O$11:$O$131)))/4))</x:f>
      </x:c>
      <x:c r="B45" s="34" t="s">
        <x:v>89</x:v>
      </x:c>
      <x:c r="C45" s="34" t="n">
        <x:v>3</x:v>
      </x:c>
      <x:c r="E45" s="105" t="s"/>
      <x:c r="G45" s="86">
        <x:f>IF($G$8&lt;&gt;"",$G$8,"")</x:f>
      </x:c>
      <x:c r="H45" s="112" t="s"/>
      <x:c r="I45" s="87" t="s"/>
      <x:c r="J45" s="87" t="s"/>
      <x:c r="K45" s="87" t="s"/>
      <x:c r="L45" s="80">
        <x:f>IF(COUNTBLANK(H45:H45)=0,AVERAGE(H45:H45),-0.000001)</x:f>
      </x:c>
      <x:c r="M45" s="81">
        <x:f>IF(COUNTBLANK(H45:K45)=0,1,0)</x:f>
      </x:c>
      <x:c r="N45" s="84">
        <x:f>SUM(M43:M46)</x:f>
      </x:c>
      <x:c r="O45" s="89">
        <x:f>IF(COUNTIF(L43:L46,"&gt;=0"),ROUND(AVERAGEIF(L43:L46,"&gt;=0"),3),0)</x:f>
      </x:c>
    </x:row>
    <x:row r="46" spans="1:87" customFormat="1" ht="16.15" customHeight="1" thickBot="1" x14ac:dyDescent="0.55000000000000004">
      <x:c r="A46" s="117">
        <x:f>IF(O46=0,"",_xlfn.FLOOR.MATH(RANK(N46,$N$11:$N$131)/4+1+SUMPRODUCT(-(-($N$11:$N$131=N46)),-(-(O46&lt;$O$11:$O$131)))/4))</x:f>
      </x:c>
      <x:c r="B46" s="74" t="s">
        <x:v>89</x:v>
      </x:c>
      <x:c r="C46" s="74" t="n">
        <x:v>4</x:v>
      </x:c>
      <x:c r="D46" s="107" t="s"/>
      <x:c r="E46" s="108" t="s"/>
      <x:c r="F46" s="109" t="s"/>
      <x:c r="G46" s="90">
        <x:f>IF($G$9&lt;&gt;"",$G$9,"")</x:f>
      </x:c>
      <x:c r="H46" s="113" t="s"/>
      <x:c r="I46" s="91" t="s"/>
      <x:c r="J46" s="91" t="s"/>
      <x:c r="K46" s="91" t="s"/>
      <x:c r="L46" s="93" t="s"/>
      <x:c r="M46" s="81">
        <x:f>IF(COUNTBLANK(H46:K46)=0,1,0)</x:f>
      </x:c>
      <x:c r="N46" s="94">
        <x:f>SUM(M43:M46)</x:f>
      </x:c>
      <x:c r="O46" s="95">
        <x:f>IF(COUNTIF(L43:L46,"&gt;=0"),ROUND(AVERAGEIF(L43:L46,"&gt;=0"),3),0)</x:f>
      </x:c>
    </x:row>
    <x:row r="47" spans="1:87" customFormat="1" ht="16.15" customHeight="1" thickBot="1" x14ac:dyDescent="0.55000000000000004">
      <x:c r="A47" s="114">
        <x:f>IF(O47=0,"",_xlfn.FLOOR.MATH(RANK(N47,$N$11:$N$131)/4+1+SUMPRODUCT(-(-($N$11:$N$131=N47)),-(-(O47&lt;$O$11:$O$131)))/4))</x:f>
      </x:c>
      <x:c r="B47" s="77" t="s">
        <x:v>89</x:v>
      </x:c>
      <x:c r="C47" s="77" t="n">
        <x:v>1</x:v>
      </x:c>
      <x:c r="D47" s="101" t="s"/>
      <x:c r="E47" s="102" t="s"/>
      <x:c r="F47" s="103" t="s"/>
      <x:c r="G47" s="78">
        <x:f>IF($G$6&lt;&gt;"",$G$6,"")</x:f>
      </x:c>
      <x:c r="H47" s="110" t="s"/>
      <x:c r="I47" s="314" t="s"/>
      <x:c r="J47" s="314" t="s"/>
      <x:c r="K47" s="314" t="s"/>
      <x:c r="L47" s="80">
        <x:f>IF(COUNTBLANK(H47:H47)=0,AVERAGE(H47:H47),-0.000001)</x:f>
      </x:c>
      <x:c r="M47" s="81">
        <x:f>IF(COUNTBLANK(H47:K47)=0,1,0)</x:f>
      </x:c>
      <x:c r="N47" s="81">
        <x:f>SUM(M47:M50)</x:f>
      </x:c>
      <x:c r="O47" s="82">
        <x:f>IF(COUNTIF(L47:L50,"&gt;=0"),ROUND(AVERAGEIF(L47:L50,"&gt;=0"),3),0)</x:f>
      </x:c>
    </x:row>
    <x:row r="48" spans="1:87" customFormat="1" ht="16.15" customHeight="1" thickBot="1" x14ac:dyDescent="0.55000000000000004">
      <x:c r="A48" s="115">
        <x:f>IF(O48=0,"",_xlfn.FLOOR.MATH(RANK(N48,$N$11:$N$131)/4+1+SUMPRODUCT(-(-($N$11:$N$131=N48)),-(-(O48&lt;$O$11:$O$131)))/4))</x:f>
      </x:c>
      <x:c r="B48" s="34" t="s">
        <x:v>89</x:v>
      </x:c>
      <x:c r="C48" s="34" t="n">
        <x:v>2</x:v>
      </x:c>
      <x:c r="D48" s="104" t="s"/>
      <x:c r="E48" s="105" t="s"/>
      <x:c r="F48" s="106" t="s"/>
      <x:c r="G48" s="83">
        <x:f>IF($G$7&lt;&gt;"",$G$7,"")</x:f>
      </x:c>
      <x:c r="H48" s="111" t="s"/>
      <x:c r="I48" s="314" t="s"/>
      <x:c r="J48" s="314" t="s"/>
      <x:c r="K48" s="314" t="s"/>
      <x:c r="L48" s="80">
        <x:f>IF(COUNTBLANK(H48:H48)=0,AVERAGE(H48:H48),-0.000001)</x:f>
      </x:c>
      <x:c r="M48" s="81">
        <x:f>IF(COUNTBLANK(H48:K48)=0,1,0)</x:f>
      </x:c>
      <x:c r="N48" s="84">
        <x:f>SUM(M47:M50)</x:f>
      </x:c>
      <x:c r="O48" s="85">
        <x:f>IF(COUNTIF(L47:L50,"&gt;=0"),ROUND(AVERAGEIF(L47:L50,"&gt;=0"),3),0)</x:f>
      </x:c>
    </x:row>
    <x:row r="49" spans="1:87" customFormat="1" ht="16.15" customHeight="1" thickBot="1" x14ac:dyDescent="0.55000000000000004">
      <x:c r="A49" s="116">
        <x:f>IF(O49=0,"",_xlfn.FLOOR.MATH(RANK(N49,$N$11:$N$131)/4+1+SUMPRODUCT(-(-($N$11:$N$131=N49)),-(-(O49&lt;$O$11:$O$131)))/4))</x:f>
      </x:c>
      <x:c r="B49" s="34" t="s">
        <x:v>89</x:v>
      </x:c>
      <x:c r="C49" s="34" t="n">
        <x:v>3</x:v>
      </x:c>
      <x:c r="E49" s="105" t="s"/>
      <x:c r="G49" s="86">
        <x:f>IF($G$8&lt;&gt;"",$G$8,"")</x:f>
      </x:c>
      <x:c r="H49" s="112" t="s"/>
      <x:c r="I49" s="87" t="s"/>
      <x:c r="J49" s="87" t="s"/>
      <x:c r="K49" s="87" t="s"/>
      <x:c r="L49" s="80">
        <x:f>IF(COUNTBLANK(H49:H49)=0,AVERAGE(H49:H49),-0.000001)</x:f>
      </x:c>
      <x:c r="M49" s="81">
        <x:f>IF(COUNTBLANK(H49:K49)=0,1,0)</x:f>
      </x:c>
      <x:c r="N49" s="84">
        <x:f>SUM(M47:M50)</x:f>
      </x:c>
      <x:c r="O49" s="89">
        <x:f>IF(COUNTIF(L47:L50,"&gt;=0"),ROUND(AVERAGEIF(L47:L50,"&gt;=0"),3),0)</x:f>
      </x:c>
    </x:row>
    <x:row r="50" spans="1:87" customFormat="1" ht="16.15" customHeight="1" thickBot="1" x14ac:dyDescent="0.55000000000000004">
      <x:c r="A50" s="117">
        <x:f>IF(O50=0,"",_xlfn.FLOOR.MATH(RANK(N50,$N$11:$N$131)/4+1+SUMPRODUCT(-(-($N$11:$N$131=N50)),-(-(O50&lt;$O$11:$O$131)))/4))</x:f>
      </x:c>
      <x:c r="B50" s="74" t="s">
        <x:v>89</x:v>
      </x:c>
      <x:c r="C50" s="74" t="n">
        <x:v>4</x:v>
      </x:c>
      <x:c r="D50" s="107" t="s"/>
      <x:c r="E50" s="108" t="s"/>
      <x:c r="F50" s="109" t="s"/>
      <x:c r="G50" s="90">
        <x:f>IF($G$9&lt;&gt;"",$G$9,"")</x:f>
      </x:c>
      <x:c r="H50" s="113" t="s"/>
      <x:c r="I50" s="91" t="s"/>
      <x:c r="J50" s="91" t="s"/>
      <x:c r="K50" s="91" t="s"/>
      <x:c r="L50" s="93" t="s"/>
      <x:c r="M50" s="81">
        <x:f>IF(COUNTBLANK(H50:K50)=0,1,0)</x:f>
      </x:c>
      <x:c r="N50" s="94">
        <x:f>SUM(M47:M50)</x:f>
      </x:c>
      <x:c r="O50" s="95">
        <x:f>IF(COUNTIF(L47:L50,"&gt;=0"),ROUND(AVERAGEIF(L47:L50,"&gt;=0"),3),0)</x:f>
      </x:c>
    </x:row>
    <x:row r="51" spans="1:87" customFormat="1" ht="16.15" customHeight="1" thickBot="1" x14ac:dyDescent="0.55000000000000004">
      <x:c r="A51" s="114">
        <x:f>IF(O51=0,"",_xlfn.FLOOR.MATH(RANK(N51,$N$11:$N$131)/4+1+SUMPRODUCT(-(-($N$11:$N$131=N51)),-(-(O51&lt;$O$11:$O$131)))/4))</x:f>
      </x:c>
      <x:c r="B51" s="77" t="s">
        <x:v>89</x:v>
      </x:c>
      <x:c r="C51" s="77" t="n">
        <x:v>1</x:v>
      </x:c>
      <x:c r="D51" s="101" t="s"/>
      <x:c r="E51" s="102" t="s"/>
      <x:c r="F51" s="103" t="s"/>
      <x:c r="G51" s="78">
        <x:f>IF($G$6&lt;&gt;"",$G$6,"")</x:f>
      </x:c>
      <x:c r="H51" s="110" t="s"/>
      <x:c r="I51" s="314" t="s"/>
      <x:c r="J51" s="314" t="s"/>
      <x:c r="K51" s="314" t="s"/>
      <x:c r="L51" s="80">
        <x:f>IF(COUNTBLANK(H51:H51)=0,AVERAGE(H51:H51),-0.000001)</x:f>
      </x:c>
      <x:c r="M51" s="81">
        <x:f>IF(COUNTBLANK(H51:K51)=0,1,0)</x:f>
      </x:c>
      <x:c r="N51" s="81">
        <x:f>SUM(M51:M54)</x:f>
      </x:c>
      <x:c r="O51" s="82">
        <x:f>IF(COUNTIF(L51:L54,"&gt;=0"),ROUND(AVERAGEIF(L51:L54,"&gt;=0"),3),0)</x:f>
      </x:c>
    </x:row>
    <x:row r="52" spans="1:87" customFormat="1" ht="16.15" customHeight="1" thickBot="1" x14ac:dyDescent="0.55000000000000004">
      <x:c r="A52" s="115">
        <x:f>IF(O52=0,"",_xlfn.FLOOR.MATH(RANK(N52,$N$11:$N$131)/4+1+SUMPRODUCT(-(-($N$11:$N$131=N52)),-(-(O52&lt;$O$11:$O$131)))/4))</x:f>
      </x:c>
      <x:c r="B52" s="34" t="s">
        <x:v>89</x:v>
      </x:c>
      <x:c r="C52" s="34" t="n">
        <x:v>2</x:v>
      </x:c>
      <x:c r="D52" s="104" t="s"/>
      <x:c r="E52" s="105" t="s"/>
      <x:c r="F52" s="106" t="s"/>
      <x:c r="G52" s="83">
        <x:f>IF($G$7&lt;&gt;"",$G$7,"")</x:f>
      </x:c>
      <x:c r="H52" s="111" t="s"/>
      <x:c r="I52" s="314" t="s"/>
      <x:c r="J52" s="314" t="s"/>
      <x:c r="K52" s="314" t="s"/>
      <x:c r="L52" s="80">
        <x:f>IF(COUNTBLANK(H52:H52)=0,AVERAGE(H52:H52),-0.000001)</x:f>
      </x:c>
      <x:c r="M52" s="81">
        <x:f>IF(COUNTBLANK(H52:K52)=0,1,0)</x:f>
      </x:c>
      <x:c r="N52" s="84">
        <x:f>SUM(M51:M54)</x:f>
      </x:c>
      <x:c r="O52" s="85">
        <x:f>IF(COUNTIF(L51:L54,"&gt;=0"),ROUND(AVERAGEIF(L51:L54,"&gt;=0"),3),0)</x:f>
      </x:c>
    </x:row>
    <x:row r="53" spans="1:87" customFormat="1" ht="16.15" customHeight="1" thickBot="1" x14ac:dyDescent="0.55000000000000004">
      <x:c r="A53" s="116">
        <x:f>IF(O53=0,"",_xlfn.FLOOR.MATH(RANK(N53,$N$11:$N$131)/4+1+SUMPRODUCT(-(-($N$11:$N$131=N53)),-(-(O53&lt;$O$11:$O$131)))/4))</x:f>
      </x:c>
      <x:c r="B53" s="34" t="s">
        <x:v>89</x:v>
      </x:c>
      <x:c r="C53" s="34" t="n">
        <x:v>3</x:v>
      </x:c>
      <x:c r="E53" s="105" t="s"/>
      <x:c r="G53" s="86">
        <x:f>IF($G$8&lt;&gt;"",$G$8,"")</x:f>
      </x:c>
      <x:c r="H53" s="112" t="s"/>
      <x:c r="I53" s="87" t="s"/>
      <x:c r="J53" s="87" t="s"/>
      <x:c r="K53" s="87" t="s"/>
      <x:c r="L53" s="80">
        <x:f>IF(COUNTBLANK(H53:H53)=0,AVERAGE(H53:H53),-0.000001)</x:f>
      </x:c>
      <x:c r="M53" s="81">
        <x:f>IF(COUNTBLANK(H53:K53)=0,1,0)</x:f>
      </x:c>
      <x:c r="N53" s="84">
        <x:f>SUM(M51:M54)</x:f>
      </x:c>
      <x:c r="O53" s="89">
        <x:f>IF(COUNTIF(L51:L54,"&gt;=0"),ROUND(AVERAGEIF(L51:L54,"&gt;=0"),3),0)</x:f>
      </x:c>
    </x:row>
    <x:row r="54" spans="1:87" customFormat="1" ht="16.15" customHeight="1" thickBot="1" x14ac:dyDescent="0.55000000000000004">
      <x:c r="A54" s="117">
        <x:f>IF(O54=0,"",_xlfn.FLOOR.MATH(RANK(N54,$N$11:$N$131)/4+1+SUMPRODUCT(-(-($N$11:$N$131=N54)),-(-(O54&lt;$O$11:$O$131)))/4))</x:f>
      </x:c>
      <x:c r="B54" s="74" t="s">
        <x:v>89</x:v>
      </x:c>
      <x:c r="C54" s="74" t="n">
        <x:v>4</x:v>
      </x:c>
      <x:c r="D54" s="107" t="s"/>
      <x:c r="E54" s="108" t="s"/>
      <x:c r="F54" s="109" t="s"/>
      <x:c r="G54" s="90">
        <x:f>IF($G$9&lt;&gt;"",$G$9,"")</x:f>
      </x:c>
      <x:c r="H54" s="113" t="s"/>
      <x:c r="I54" s="91" t="s"/>
      <x:c r="J54" s="91" t="s"/>
      <x:c r="K54" s="91" t="s"/>
      <x:c r="L54" s="93" t="s"/>
      <x:c r="M54" s="81">
        <x:f>IF(COUNTBLANK(H54:K54)=0,1,0)</x:f>
      </x:c>
      <x:c r="N54" s="94">
        <x:f>SUM(M51:M54)</x:f>
      </x:c>
      <x:c r="O54" s="95">
        <x:f>IF(COUNTIF(L51:L54,"&gt;=0"),ROUND(AVERAGEIF(L51:L54,"&gt;=0"),3),0)</x:f>
      </x:c>
    </x:row>
    <x:row r="55" spans="1:87" customFormat="1" ht="16.15" customHeight="1" thickBot="1" x14ac:dyDescent="0.55000000000000004">
      <x:c r="A55" s="114">
        <x:f>IF(O55=0,"",_xlfn.FLOOR.MATH(RANK(N55,$N$11:$N$131)/4+1+SUMPRODUCT(-(-($N$11:$N$131=N55)),-(-(O55&lt;$O$11:$O$131)))/4))</x:f>
      </x:c>
      <x:c r="B55" s="77" t="s">
        <x:v>89</x:v>
      </x:c>
      <x:c r="C55" s="77" t="n">
        <x:v>1</x:v>
      </x:c>
      <x:c r="D55" s="101" t="s"/>
      <x:c r="E55" s="102" t="s"/>
      <x:c r="F55" s="103" t="s"/>
      <x:c r="G55" s="78">
        <x:f>IF($G$6&lt;&gt;"",$G$6,"")</x:f>
      </x:c>
      <x:c r="H55" s="110" t="s"/>
      <x:c r="I55" s="314" t="s"/>
      <x:c r="J55" s="314" t="s"/>
      <x:c r="K55" s="314" t="s"/>
      <x:c r="L55" s="80">
        <x:f>IF(COUNTBLANK(H55:H55)=0,AVERAGE(H55:H55),-0.000001)</x:f>
      </x:c>
      <x:c r="M55" s="81">
        <x:f>IF(COUNTBLANK(H55:K55)=0,1,0)</x:f>
      </x:c>
      <x:c r="N55" s="81">
        <x:f>SUM(M55:M58)</x:f>
      </x:c>
      <x:c r="O55" s="82">
        <x:f>IF(COUNTIF(L55:L58,"&gt;=0"),ROUND(AVERAGEIF(L55:L58,"&gt;=0"),3),0)</x:f>
      </x:c>
    </x:row>
    <x:row r="56" spans="1:87" customFormat="1" ht="16.15" customHeight="1" thickBot="1" x14ac:dyDescent="0.55000000000000004">
      <x:c r="A56" s="115">
        <x:f>IF(O56=0,"",_xlfn.FLOOR.MATH(RANK(N56,$N$11:$N$131)/4+1+SUMPRODUCT(-(-($N$11:$N$131=N56)),-(-(O56&lt;$O$11:$O$131)))/4))</x:f>
      </x:c>
      <x:c r="B56" s="34" t="s">
        <x:v>89</x:v>
      </x:c>
      <x:c r="C56" s="34" t="n">
        <x:v>2</x:v>
      </x:c>
      <x:c r="D56" s="104" t="s"/>
      <x:c r="E56" s="105" t="s"/>
      <x:c r="F56" s="106" t="s"/>
      <x:c r="G56" s="83">
        <x:f>IF($G$7&lt;&gt;"",$G$7,"")</x:f>
      </x:c>
      <x:c r="H56" s="111" t="s"/>
      <x:c r="I56" s="314" t="s"/>
      <x:c r="J56" s="314" t="s"/>
      <x:c r="K56" s="314" t="s"/>
      <x:c r="L56" s="80">
        <x:f>IF(COUNTBLANK(H56:H56)=0,AVERAGE(H56:H56),-0.000001)</x:f>
      </x:c>
      <x:c r="M56" s="81">
        <x:f>IF(COUNTBLANK(H56:K56)=0,1,0)</x:f>
      </x:c>
      <x:c r="N56" s="84">
        <x:f>SUM(M55:M58)</x:f>
      </x:c>
      <x:c r="O56" s="85">
        <x:f>IF(COUNTIF(L55:L58,"&gt;=0"),ROUND(AVERAGEIF(L55:L58,"&gt;=0"),3),0)</x:f>
      </x:c>
    </x:row>
    <x:row r="57" spans="1:87" customFormat="1" ht="16.15" customHeight="1" thickBot="1" x14ac:dyDescent="0.55000000000000004">
      <x:c r="A57" s="116">
        <x:f>IF(O57=0,"",_xlfn.FLOOR.MATH(RANK(N57,$N$11:$N$131)/4+1+SUMPRODUCT(-(-($N$11:$N$131=N57)),-(-(O57&lt;$O$11:$O$131)))/4))</x:f>
      </x:c>
      <x:c r="B57" s="34" t="s">
        <x:v>89</x:v>
      </x:c>
      <x:c r="C57" s="34" t="n">
        <x:v>3</x:v>
      </x:c>
      <x:c r="E57" s="105" t="s"/>
      <x:c r="G57" s="86">
        <x:f>IF($G$8&lt;&gt;"",$G$8,"")</x:f>
      </x:c>
      <x:c r="H57" s="112" t="s"/>
      <x:c r="I57" s="87" t="s"/>
      <x:c r="J57" s="87" t="s"/>
      <x:c r="K57" s="87" t="s"/>
      <x:c r="L57" s="80">
        <x:f>IF(COUNTBLANK(H57:H57)=0,AVERAGE(H57:H57),-0.000001)</x:f>
      </x:c>
      <x:c r="M57" s="81">
        <x:f>IF(COUNTBLANK(H57:K57)=0,1,0)</x:f>
      </x:c>
      <x:c r="N57" s="84">
        <x:f>SUM(M55:M58)</x:f>
      </x:c>
      <x:c r="O57" s="89">
        <x:f>IF(COUNTIF(L55:L58,"&gt;=0"),ROUND(AVERAGEIF(L55:L58,"&gt;=0"),3),0)</x:f>
      </x:c>
    </x:row>
    <x:row r="58" spans="1:87" customFormat="1" ht="16.15" customHeight="1" thickBot="1" x14ac:dyDescent="0.55000000000000004">
      <x:c r="A58" s="117">
        <x:f>IF(O58=0,"",_xlfn.FLOOR.MATH(RANK(N58,$N$11:$N$131)/4+1+SUMPRODUCT(-(-($N$11:$N$131=N58)),-(-(O58&lt;$O$11:$O$131)))/4))</x:f>
      </x:c>
      <x:c r="B58" s="74" t="s">
        <x:v>89</x:v>
      </x:c>
      <x:c r="C58" s="74" t="n">
        <x:v>4</x:v>
      </x:c>
      <x:c r="D58" s="107" t="s"/>
      <x:c r="E58" s="108" t="s"/>
      <x:c r="F58" s="109" t="s"/>
      <x:c r="G58" s="90">
        <x:f>IF($G$9&lt;&gt;"",$G$9,"")</x:f>
      </x:c>
      <x:c r="H58" s="113" t="s"/>
      <x:c r="I58" s="91" t="s"/>
      <x:c r="J58" s="91" t="s"/>
      <x:c r="K58" s="91" t="s"/>
      <x:c r="L58" s="93" t="s"/>
      <x:c r="M58" s="81">
        <x:f>IF(COUNTBLANK(H58:K58)=0,1,0)</x:f>
      </x:c>
      <x:c r="N58" s="94">
        <x:f>SUM(M55:M58)</x:f>
      </x:c>
      <x:c r="O58" s="95">
        <x:f>IF(COUNTIF(L55:L58,"&gt;=0"),ROUND(AVERAGEIF(L55:L58,"&gt;=0"),3),0)</x:f>
      </x:c>
    </x:row>
    <x:row r="59" spans="1:87" customFormat="1" ht="16.15" customHeight="1" thickBot="1" x14ac:dyDescent="0.55000000000000004">
      <x:c r="A59" s="114">
        <x:f>IF(O59=0,"",_xlfn.FLOOR.MATH(RANK(N59,$N$11:$N$131)/4+1+SUMPRODUCT(-(-($N$11:$N$131=N59)),-(-(O59&lt;$O$11:$O$131)))/4))</x:f>
      </x:c>
      <x:c r="B59" s="77" t="s">
        <x:v>89</x:v>
      </x:c>
      <x:c r="C59" s="77" t="n">
        <x:v>1</x:v>
      </x:c>
      <x:c r="D59" s="101" t="s"/>
      <x:c r="E59" s="102" t="s"/>
      <x:c r="F59" s="103" t="s"/>
      <x:c r="G59" s="78">
        <x:f>IF($G$6&lt;&gt;"",$G$6,"")</x:f>
      </x:c>
      <x:c r="H59" s="110" t="s"/>
      <x:c r="I59" s="314" t="s"/>
      <x:c r="J59" s="314" t="s"/>
      <x:c r="K59" s="314" t="s"/>
      <x:c r="L59" s="80">
        <x:f>IF(COUNTBLANK(H59:H59)=0,AVERAGE(H59:H59),-0.000001)</x:f>
      </x:c>
      <x:c r="M59" s="81">
        <x:f>IF(COUNTBLANK(H59:K59)=0,1,0)</x:f>
      </x:c>
      <x:c r="N59" s="81">
        <x:f>SUM(M59:M62)</x:f>
      </x:c>
      <x:c r="O59" s="82">
        <x:f>IF(COUNTIF(L59:L62,"&gt;=0"),ROUND(AVERAGEIF(L59:L62,"&gt;=0"),3),0)</x:f>
      </x:c>
    </x:row>
    <x:row r="60" spans="1:87" customFormat="1" ht="16.15" customHeight="1" thickBot="1" x14ac:dyDescent="0.55000000000000004">
      <x:c r="A60" s="115">
        <x:f>IF(O60=0,"",_xlfn.FLOOR.MATH(RANK(N60,$N$11:$N$131)/4+1+SUMPRODUCT(-(-($N$11:$N$131=N60)),-(-(O60&lt;$O$11:$O$131)))/4))</x:f>
      </x:c>
      <x:c r="B60" s="34" t="s">
        <x:v>89</x:v>
      </x:c>
      <x:c r="C60" s="34" t="n">
        <x:v>2</x:v>
      </x:c>
      <x:c r="D60" s="104" t="s"/>
      <x:c r="E60" s="105" t="s"/>
      <x:c r="F60" s="106" t="s"/>
      <x:c r="G60" s="83">
        <x:f>IF($G$7&lt;&gt;"",$G$7,"")</x:f>
      </x:c>
      <x:c r="H60" s="111" t="s"/>
      <x:c r="I60" s="314" t="s"/>
      <x:c r="J60" s="314" t="s"/>
      <x:c r="K60" s="314" t="s"/>
      <x:c r="L60" s="80">
        <x:f>IF(COUNTBLANK(H60:H60)=0,AVERAGE(H60:H60),-0.000001)</x:f>
      </x:c>
      <x:c r="M60" s="81">
        <x:f>IF(COUNTBLANK(H60:K60)=0,1,0)</x:f>
      </x:c>
      <x:c r="N60" s="84">
        <x:f>SUM(M59:M62)</x:f>
      </x:c>
      <x:c r="O60" s="85">
        <x:f>IF(COUNTIF(L59:L62,"&gt;=0"),ROUND(AVERAGEIF(L59:L62,"&gt;=0"),3),0)</x:f>
      </x:c>
    </x:row>
    <x:row r="61" spans="1:87" customFormat="1" ht="16.15" customHeight="1" thickBot="1" x14ac:dyDescent="0.55000000000000004">
      <x:c r="A61" s="116">
        <x:f>IF(O61=0,"",_xlfn.FLOOR.MATH(RANK(N61,$N$11:$N$131)/4+1+SUMPRODUCT(-(-($N$11:$N$131=N61)),-(-(O61&lt;$O$11:$O$131)))/4))</x:f>
      </x:c>
      <x:c r="B61" s="34" t="s">
        <x:v>89</x:v>
      </x:c>
      <x:c r="C61" s="34" t="n">
        <x:v>3</x:v>
      </x:c>
      <x:c r="E61" s="105" t="s"/>
      <x:c r="G61" s="86">
        <x:f>IF($G$8&lt;&gt;"",$G$8,"")</x:f>
      </x:c>
      <x:c r="H61" s="112" t="s"/>
      <x:c r="I61" s="87" t="s"/>
      <x:c r="J61" s="87" t="s"/>
      <x:c r="K61" s="87" t="s"/>
      <x:c r="L61" s="80">
        <x:f>IF(COUNTBLANK(H61:H61)=0,AVERAGE(H61:H61),-0.000001)</x:f>
      </x:c>
      <x:c r="M61" s="81">
        <x:f>IF(COUNTBLANK(H61:K61)=0,1,0)</x:f>
      </x:c>
      <x:c r="N61" s="84">
        <x:f>SUM(M59:M62)</x:f>
      </x:c>
      <x:c r="O61" s="89">
        <x:f>IF(COUNTIF(L59:L62,"&gt;=0"),ROUND(AVERAGEIF(L59:L62,"&gt;=0"),3),0)</x:f>
      </x:c>
    </x:row>
    <x:row r="62" spans="1:87" customFormat="1" ht="16.15" customHeight="1" thickBot="1" x14ac:dyDescent="0.55000000000000004">
      <x:c r="A62" s="117">
        <x:f>IF(O62=0,"",_xlfn.FLOOR.MATH(RANK(N62,$N$11:$N$131)/4+1+SUMPRODUCT(-(-($N$11:$N$131=N62)),-(-(O62&lt;$O$11:$O$131)))/4))</x:f>
      </x:c>
      <x:c r="B62" s="74" t="s">
        <x:v>89</x:v>
      </x:c>
      <x:c r="C62" s="74" t="n">
        <x:v>4</x:v>
      </x:c>
      <x:c r="D62" s="107" t="s"/>
      <x:c r="E62" s="108" t="s"/>
      <x:c r="F62" s="109" t="s"/>
      <x:c r="G62" s="90">
        <x:f>IF($G$9&lt;&gt;"",$G$9,"")</x:f>
      </x:c>
      <x:c r="H62" s="113" t="s"/>
      <x:c r="I62" s="91" t="s"/>
      <x:c r="J62" s="91" t="s"/>
      <x:c r="K62" s="91" t="s"/>
      <x:c r="L62" s="93" t="s"/>
      <x:c r="M62" s="81">
        <x:f>IF(COUNTBLANK(H62:K62)=0,1,0)</x:f>
      </x:c>
      <x:c r="N62" s="94">
        <x:f>SUM(M59:M62)</x:f>
      </x:c>
      <x:c r="O62" s="95">
        <x:f>IF(COUNTIF(L59:L62,"&gt;=0"),ROUND(AVERAGEIF(L59:L62,"&gt;=0"),3),0)</x:f>
      </x:c>
    </x:row>
    <x:row r="63" spans="1:87" customFormat="1" ht="16.15" customHeight="1" thickBot="1" x14ac:dyDescent="0.55000000000000004">
      <x:c r="A63" s="114">
        <x:f>IF(O63=0,"",_xlfn.FLOOR.MATH(RANK(N63,$N$11:$N$131)/4+1+SUMPRODUCT(-(-($N$11:$N$131=N63)),-(-(O63&lt;$O$11:$O$131)))/4))</x:f>
      </x:c>
      <x:c r="B63" s="77" t="s">
        <x:v>89</x:v>
      </x:c>
      <x:c r="C63" s="77" t="n">
        <x:v>1</x:v>
      </x:c>
      <x:c r="D63" s="101" t="s"/>
      <x:c r="E63" s="102" t="s"/>
      <x:c r="F63" s="103" t="s"/>
      <x:c r="G63" s="78">
        <x:f>IF($G$6&lt;&gt;"",$G$6,"")</x:f>
      </x:c>
      <x:c r="H63" s="110" t="s"/>
      <x:c r="I63" s="314" t="s"/>
      <x:c r="J63" s="314" t="s"/>
      <x:c r="K63" s="314" t="s"/>
      <x:c r="L63" s="80">
        <x:f>IF(COUNTBLANK(H63:H63)=0,AVERAGE(H63:H63),-0.000001)</x:f>
      </x:c>
      <x:c r="M63" s="81">
        <x:f>IF(COUNTBLANK(H63:K63)=0,1,0)</x:f>
      </x:c>
      <x:c r="N63" s="81">
        <x:f>SUM(M63:M66)</x:f>
      </x:c>
      <x:c r="O63" s="82">
        <x:f>IF(COUNTIF(L63:L66,"&gt;=0"),ROUND(AVERAGEIF(L63:L66,"&gt;=0"),3),0)</x:f>
      </x:c>
    </x:row>
    <x:row r="64" spans="1:87" customFormat="1" ht="16.15" customHeight="1" thickBot="1" x14ac:dyDescent="0.55000000000000004">
      <x:c r="A64" s="115">
        <x:f>IF(O64=0,"",_xlfn.FLOOR.MATH(RANK(N64,$N$11:$N$131)/4+1+SUMPRODUCT(-(-($N$11:$N$131=N64)),-(-(O64&lt;$O$11:$O$131)))/4))</x:f>
      </x:c>
      <x:c r="B64" s="34" t="s">
        <x:v>89</x:v>
      </x:c>
      <x:c r="C64" s="34" t="n">
        <x:v>2</x:v>
      </x:c>
      <x:c r="D64" s="104" t="s"/>
      <x:c r="E64" s="105" t="s"/>
      <x:c r="F64" s="106" t="s"/>
      <x:c r="G64" s="83">
        <x:f>IF($G$7&lt;&gt;"",$G$7,"")</x:f>
      </x:c>
      <x:c r="H64" s="111" t="s"/>
      <x:c r="I64" s="314" t="s"/>
      <x:c r="J64" s="314" t="s"/>
      <x:c r="K64" s="314" t="s"/>
      <x:c r="L64" s="80">
        <x:f>IF(COUNTBLANK(H64:H64)=0,AVERAGE(H64:H64),-0.000001)</x:f>
      </x:c>
      <x:c r="M64" s="81">
        <x:f>IF(COUNTBLANK(H64:K64)=0,1,0)</x:f>
      </x:c>
      <x:c r="N64" s="84">
        <x:f>SUM(M63:M66)</x:f>
      </x:c>
      <x:c r="O64" s="85">
        <x:f>IF(COUNTIF(L63:L66,"&gt;=0"),ROUND(AVERAGEIF(L63:L66,"&gt;=0"),3),0)</x:f>
      </x:c>
    </x:row>
    <x:row r="65" spans="1:87" customFormat="1" ht="16.15" customHeight="1" thickBot="1" x14ac:dyDescent="0.55000000000000004">
      <x:c r="A65" s="116">
        <x:f>IF(O65=0,"",_xlfn.FLOOR.MATH(RANK(N65,$N$11:$N$131)/4+1+SUMPRODUCT(-(-($N$11:$N$131=N65)),-(-(O65&lt;$O$11:$O$131)))/4))</x:f>
      </x:c>
      <x:c r="B65" s="34" t="s">
        <x:v>89</x:v>
      </x:c>
      <x:c r="C65" s="34" t="n">
        <x:v>3</x:v>
      </x:c>
      <x:c r="E65" s="105" t="s"/>
      <x:c r="G65" s="86">
        <x:f>IF($G$8&lt;&gt;"",$G$8,"")</x:f>
      </x:c>
      <x:c r="H65" s="112" t="s"/>
      <x:c r="I65" s="87" t="s"/>
      <x:c r="J65" s="87" t="s"/>
      <x:c r="K65" s="87" t="s"/>
      <x:c r="L65" s="80">
        <x:f>IF(COUNTBLANK(H65:H65)=0,AVERAGE(H65:H65),-0.000001)</x:f>
      </x:c>
      <x:c r="M65" s="81">
        <x:f>IF(COUNTBLANK(H65:K65)=0,1,0)</x:f>
      </x:c>
      <x:c r="N65" s="84">
        <x:f>SUM(M63:M66)</x:f>
      </x:c>
      <x:c r="O65" s="89">
        <x:f>IF(COUNTIF(L63:L66,"&gt;=0"),ROUND(AVERAGEIF(L63:L66,"&gt;=0"),3),0)</x:f>
      </x:c>
    </x:row>
    <x:row r="66" spans="1:87" customFormat="1" ht="16.15" customHeight="1" thickBot="1" x14ac:dyDescent="0.55000000000000004">
      <x:c r="A66" s="117">
        <x:f>IF(O66=0,"",_xlfn.FLOOR.MATH(RANK(N66,$N$11:$N$131)/4+1+SUMPRODUCT(-(-($N$11:$N$131=N66)),-(-(O66&lt;$O$11:$O$131)))/4))</x:f>
      </x:c>
      <x:c r="B66" s="74" t="s">
        <x:v>89</x:v>
      </x:c>
      <x:c r="C66" s="74" t="n">
        <x:v>4</x:v>
      </x:c>
      <x:c r="D66" s="107" t="s"/>
      <x:c r="E66" s="108" t="s"/>
      <x:c r="F66" s="109" t="s"/>
      <x:c r="G66" s="90">
        <x:f>IF($G$9&lt;&gt;"",$G$9,"")</x:f>
      </x:c>
      <x:c r="H66" s="113" t="s"/>
      <x:c r="I66" s="91" t="s"/>
      <x:c r="J66" s="91" t="s"/>
      <x:c r="K66" s="91" t="s"/>
      <x:c r="L66" s="93" t="s"/>
      <x:c r="M66" s="81">
        <x:f>IF(COUNTBLANK(H66:K66)=0,1,0)</x:f>
      </x:c>
      <x:c r="N66" s="94">
        <x:f>SUM(M63:M66)</x:f>
      </x:c>
      <x:c r="O66" s="95">
        <x:f>IF(COUNTIF(L63:L66,"&gt;=0"),ROUND(AVERAGEIF(L63:L66,"&gt;=0"),3),0)</x:f>
      </x:c>
    </x:row>
    <x:row r="67" spans="1:87" customFormat="1" ht="16.15" customHeight="1" thickBot="1" x14ac:dyDescent="0.55000000000000004">
      <x:c r="A67" s="114">
        <x:f>IF(O67=0,"",_xlfn.FLOOR.MATH(RANK(N67,$N$11:$N$131)/4+1+SUMPRODUCT(-(-($N$11:$N$131=N67)),-(-(O67&lt;$O$11:$O$131)))/4))</x:f>
      </x:c>
      <x:c r="B67" s="77" t="s">
        <x:v>89</x:v>
      </x:c>
      <x:c r="C67" s="77" t="n">
        <x:v>1</x:v>
      </x:c>
      <x:c r="D67" s="101" t="s"/>
      <x:c r="E67" s="102" t="s"/>
      <x:c r="F67" s="103" t="s"/>
      <x:c r="G67" s="78">
        <x:f>IF($G$6&lt;&gt;"",$G$6,"")</x:f>
      </x:c>
      <x:c r="H67" s="110" t="s"/>
      <x:c r="I67" s="314" t="s"/>
      <x:c r="J67" s="314" t="s"/>
      <x:c r="K67" s="314" t="s"/>
      <x:c r="L67" s="80">
        <x:f>IF(COUNTBLANK(H67:H67)=0,AVERAGE(H67:H67),-0.000001)</x:f>
      </x:c>
      <x:c r="M67" s="81">
        <x:f>IF(COUNTBLANK(H67:K67)=0,1,0)</x:f>
      </x:c>
      <x:c r="N67" s="81">
        <x:f>SUM(M67:M70)</x:f>
      </x:c>
      <x:c r="O67" s="82">
        <x:f>IF(COUNTIF(L67:L70,"&gt;=0"),ROUND(AVERAGEIF(L67:L70,"&gt;=0"),3),0)</x:f>
      </x:c>
    </x:row>
    <x:row r="68" spans="1:87" customFormat="1" ht="16.15" customHeight="1" thickBot="1" x14ac:dyDescent="0.55000000000000004">
      <x:c r="A68" s="115">
        <x:f>IF(O68=0,"",_xlfn.FLOOR.MATH(RANK(N68,$N$11:$N$131)/4+1+SUMPRODUCT(-(-($N$11:$N$131=N68)),-(-(O68&lt;$O$11:$O$131)))/4))</x:f>
      </x:c>
      <x:c r="B68" s="34" t="s">
        <x:v>89</x:v>
      </x:c>
      <x:c r="C68" s="34" t="n">
        <x:v>2</x:v>
      </x:c>
      <x:c r="D68" s="104" t="s"/>
      <x:c r="E68" s="105" t="s"/>
      <x:c r="F68" s="106" t="s"/>
      <x:c r="G68" s="83">
        <x:f>IF($G$7&lt;&gt;"",$G$7,"")</x:f>
      </x:c>
      <x:c r="H68" s="111" t="s"/>
      <x:c r="I68" s="314" t="s"/>
      <x:c r="J68" s="314" t="s"/>
      <x:c r="K68" s="314" t="s"/>
      <x:c r="L68" s="80">
        <x:f>IF(COUNTBLANK(H68:H68)=0,AVERAGE(H68:H68),-0.000001)</x:f>
      </x:c>
      <x:c r="M68" s="81">
        <x:f>IF(COUNTBLANK(H68:K68)=0,1,0)</x:f>
      </x:c>
      <x:c r="N68" s="84">
        <x:f>SUM(M67:M70)</x:f>
      </x:c>
      <x:c r="O68" s="85">
        <x:f>IF(COUNTIF(L67:L70,"&gt;=0"),ROUND(AVERAGEIF(L67:L70,"&gt;=0"),3),0)</x:f>
      </x:c>
    </x:row>
    <x:row r="69" spans="1:87" customFormat="1" ht="16.15" customHeight="1" thickBot="1" x14ac:dyDescent="0.55000000000000004">
      <x:c r="A69" s="116">
        <x:f>IF(O69=0,"",_xlfn.FLOOR.MATH(RANK(N69,$N$11:$N$131)/4+1+SUMPRODUCT(-(-($N$11:$N$131=N69)),-(-(O69&lt;$O$11:$O$131)))/4))</x:f>
      </x:c>
      <x:c r="B69" s="34" t="s">
        <x:v>89</x:v>
      </x:c>
      <x:c r="C69" s="34" t="n">
        <x:v>3</x:v>
      </x:c>
      <x:c r="E69" s="105" t="s"/>
      <x:c r="G69" s="86">
        <x:f>IF($G$8&lt;&gt;"",$G$8,"")</x:f>
      </x:c>
      <x:c r="H69" s="112" t="s"/>
      <x:c r="I69" s="87" t="s"/>
      <x:c r="J69" s="87" t="s"/>
      <x:c r="K69" s="87" t="s"/>
      <x:c r="L69" s="80">
        <x:f>IF(COUNTBLANK(H69:H69)=0,AVERAGE(H69:H69),-0.000001)</x:f>
      </x:c>
      <x:c r="M69" s="81">
        <x:f>IF(COUNTBLANK(H69:K69)=0,1,0)</x:f>
      </x:c>
      <x:c r="N69" s="84">
        <x:f>SUM(M67:M70)</x:f>
      </x:c>
      <x:c r="O69" s="89">
        <x:f>IF(COUNTIF(L67:L70,"&gt;=0"),ROUND(AVERAGEIF(L67:L70,"&gt;=0"),3),0)</x:f>
      </x:c>
    </x:row>
    <x:row r="70" spans="1:87" customFormat="1" ht="16.15" customHeight="1" thickBot="1" x14ac:dyDescent="0.55000000000000004">
      <x:c r="A70" s="117">
        <x:f>IF(O70=0,"",_xlfn.FLOOR.MATH(RANK(N70,$N$11:$N$131)/4+1+SUMPRODUCT(-(-($N$11:$N$131=N70)),-(-(O70&lt;$O$11:$O$131)))/4))</x:f>
      </x:c>
      <x:c r="B70" s="74" t="s">
        <x:v>89</x:v>
      </x:c>
      <x:c r="C70" s="74" t="n">
        <x:v>4</x:v>
      </x:c>
      <x:c r="D70" s="107" t="s"/>
      <x:c r="E70" s="108" t="s"/>
      <x:c r="F70" s="109" t="s"/>
      <x:c r="G70" s="90">
        <x:f>IF($G$9&lt;&gt;"",$G$9,"")</x:f>
      </x:c>
      <x:c r="H70" s="113" t="s"/>
      <x:c r="I70" s="91" t="s"/>
      <x:c r="J70" s="91" t="s"/>
      <x:c r="K70" s="91" t="s"/>
      <x:c r="L70" s="93" t="s"/>
      <x:c r="M70" s="81">
        <x:f>IF(COUNTBLANK(H70:K70)=0,1,0)</x:f>
      </x:c>
      <x:c r="N70" s="94">
        <x:f>SUM(M67:M70)</x:f>
      </x:c>
      <x:c r="O70" s="95">
        <x:f>IF(COUNTIF(L67:L70,"&gt;=0"),ROUND(AVERAGEIF(L67:L70,"&gt;=0"),3),0)</x:f>
      </x:c>
    </x:row>
    <x:row r="71" spans="1:87" customFormat="1" ht="16.15" customHeight="1" thickBot="1" x14ac:dyDescent="0.55000000000000004">
      <x:c r="A71" s="114">
        <x:f>IF(O71=0,"",_xlfn.FLOOR.MATH(RANK(N71,$N$11:$N$131)/4+1+SUMPRODUCT(-(-($N$11:$N$131=N71)),-(-(O71&lt;$O$11:$O$131)))/4))</x:f>
      </x:c>
      <x:c r="B71" s="77" t="s">
        <x:v>89</x:v>
      </x:c>
      <x:c r="C71" s="77" t="n">
        <x:v>1</x:v>
      </x:c>
      <x:c r="D71" s="101" t="s"/>
      <x:c r="E71" s="102" t="s"/>
      <x:c r="F71" s="103" t="s"/>
      <x:c r="G71" s="78">
        <x:f>IF($G$6&lt;&gt;"",$G$6,"")</x:f>
      </x:c>
      <x:c r="H71" s="110" t="s"/>
      <x:c r="I71" s="314" t="s"/>
      <x:c r="J71" s="314" t="s"/>
      <x:c r="K71" s="314" t="s"/>
      <x:c r="L71" s="80">
        <x:f>IF(COUNTBLANK(H71:H71)=0,AVERAGE(H71:H71),-0.000001)</x:f>
      </x:c>
      <x:c r="M71" s="81">
        <x:f>IF(COUNTBLANK(H71:K71)=0,1,0)</x:f>
      </x:c>
      <x:c r="N71" s="81">
        <x:f>SUM(M71:M74)</x:f>
      </x:c>
      <x:c r="O71" s="82">
        <x:f>IF(COUNTIF(L71:L74,"&gt;=0"),ROUND(AVERAGEIF(L71:L74,"&gt;=0"),3),0)</x:f>
      </x:c>
    </x:row>
    <x:row r="72" spans="1:87" customFormat="1" ht="16.15" customHeight="1" thickBot="1" x14ac:dyDescent="0.55000000000000004">
      <x:c r="A72" s="115">
        <x:f>IF(O72=0,"",_xlfn.FLOOR.MATH(RANK(N72,$N$11:$N$131)/4+1+SUMPRODUCT(-(-($N$11:$N$131=N72)),-(-(O72&lt;$O$11:$O$131)))/4))</x:f>
      </x:c>
      <x:c r="B72" s="34" t="s">
        <x:v>89</x:v>
      </x:c>
      <x:c r="C72" s="34" t="n">
        <x:v>2</x:v>
      </x:c>
      <x:c r="D72" s="104" t="s"/>
      <x:c r="E72" s="105" t="s"/>
      <x:c r="F72" s="106" t="s"/>
      <x:c r="G72" s="83">
        <x:f>IF($G$7&lt;&gt;"",$G$7,"")</x:f>
      </x:c>
      <x:c r="H72" s="111" t="s"/>
      <x:c r="I72" s="314" t="s"/>
      <x:c r="J72" s="314" t="s"/>
      <x:c r="K72" s="314" t="s"/>
      <x:c r="L72" s="80">
        <x:f>IF(COUNTBLANK(H72:H72)=0,AVERAGE(H72:H72),-0.000001)</x:f>
      </x:c>
      <x:c r="M72" s="81">
        <x:f>IF(COUNTBLANK(H72:K72)=0,1,0)</x:f>
      </x:c>
      <x:c r="N72" s="84">
        <x:f>SUM(M71:M74)</x:f>
      </x:c>
      <x:c r="O72" s="85">
        <x:f>IF(COUNTIF(L71:L74,"&gt;=0"),ROUND(AVERAGEIF(L71:L74,"&gt;=0"),3),0)</x:f>
      </x:c>
    </x:row>
    <x:row r="73" spans="1:87" customFormat="1" ht="16.15" customHeight="1" thickBot="1" x14ac:dyDescent="0.55000000000000004">
      <x:c r="A73" s="116">
        <x:f>IF(O73=0,"",_xlfn.FLOOR.MATH(RANK(N73,$N$11:$N$131)/4+1+SUMPRODUCT(-(-($N$11:$N$131=N73)),-(-(O73&lt;$O$11:$O$131)))/4))</x:f>
      </x:c>
      <x:c r="B73" s="34" t="s">
        <x:v>89</x:v>
      </x:c>
      <x:c r="C73" s="34" t="n">
        <x:v>3</x:v>
      </x:c>
      <x:c r="E73" s="105" t="s"/>
      <x:c r="G73" s="86">
        <x:f>IF($G$8&lt;&gt;"",$G$8,"")</x:f>
      </x:c>
      <x:c r="H73" s="112" t="s"/>
      <x:c r="I73" s="87" t="s"/>
      <x:c r="J73" s="87" t="s"/>
      <x:c r="K73" s="87" t="s"/>
      <x:c r="L73" s="80">
        <x:f>IF(COUNTBLANK(H73:H73)=0,AVERAGE(H73:H73),-0.000001)</x:f>
      </x:c>
      <x:c r="M73" s="81">
        <x:f>IF(COUNTBLANK(H73:K73)=0,1,0)</x:f>
      </x:c>
      <x:c r="N73" s="84">
        <x:f>SUM(M71:M74)</x:f>
      </x:c>
      <x:c r="O73" s="89">
        <x:f>IF(COUNTIF(L71:L74,"&gt;=0"),ROUND(AVERAGEIF(L71:L74,"&gt;=0"),3),0)</x:f>
      </x:c>
    </x:row>
    <x:row r="74" spans="1:87" customFormat="1" ht="16.15" customHeight="1" thickBot="1" x14ac:dyDescent="0.55000000000000004">
      <x:c r="A74" s="117">
        <x:f>IF(O74=0,"",_xlfn.FLOOR.MATH(RANK(N74,$N$11:$N$131)/4+1+SUMPRODUCT(-(-($N$11:$N$131=N74)),-(-(O74&lt;$O$11:$O$131)))/4))</x:f>
      </x:c>
      <x:c r="B74" s="74" t="s">
        <x:v>89</x:v>
      </x:c>
      <x:c r="C74" s="74" t="n">
        <x:v>4</x:v>
      </x:c>
      <x:c r="D74" s="107" t="s"/>
      <x:c r="E74" s="108" t="s"/>
      <x:c r="F74" s="109" t="s"/>
      <x:c r="G74" s="90">
        <x:f>IF($G$9&lt;&gt;"",$G$9,"")</x:f>
      </x:c>
      <x:c r="H74" s="113" t="s"/>
      <x:c r="I74" s="91" t="s"/>
      <x:c r="J74" s="91" t="s"/>
      <x:c r="K74" s="91" t="s"/>
      <x:c r="L74" s="93" t="s"/>
      <x:c r="M74" s="81">
        <x:f>IF(COUNTBLANK(H74:K74)=0,1,0)</x:f>
      </x:c>
      <x:c r="N74" s="94">
        <x:f>SUM(M71:M74)</x:f>
      </x:c>
      <x:c r="O74" s="95">
        <x:f>IF(COUNTIF(L71:L74,"&gt;=0"),ROUND(AVERAGEIF(L71:L74,"&gt;=0"),3),0)</x:f>
      </x:c>
    </x:row>
  </x:sheetData>
  <x:sheetProtection algorithmName="SHA-512" hashValue="5N7j+HW6KsdzyYYwA6QB9fkQErwMXN5FXZOdD7eb1XGY3wdFBRMHLGamALh6fUbY3dk8luPdM6OepC25KuW+ng==" saltValue="SlhRntr/fYLb3ImkApFHNQ==" spinCount="100000" sheet="1" insertHyperlinks="0" deleteRows="0"/>
  <x:mergeCells count="3">
    <x:mergeCell ref="B1:C1"/>
    <x:mergeCell ref="B2:C2"/>
    <x:mergeCell ref="B3:C3"/>
  </x:mergeCells>
  <x:conditionalFormatting sqref="K71:K72">
    <x:cfRule type="expression" dxfId="3" priority="1" operator="equal">
      <x:formula>COUNTBLANK(G71:G71)=0</x:formula>
    </x:cfRule>
  </x:conditionalFormatting>
  <x:conditionalFormatting sqref="H73:K74">
    <x:cfRule type="expression" priority="2" stopIfTrue="1" operator="equal">
      <x:formula>COUNTBLANK($G73)=1</x:formula>
    </x:cfRule>
    <x:cfRule type="containsBlanks" dxfId="0" priority="3">
      <x:formula>LEN(TRIM(H73))=0</x:formula>
    </x:cfRule>
  </x:conditionalFormatting>
  <x:conditionalFormatting sqref="K67:K68">
    <x:cfRule type="expression" dxfId="3" priority="4" operator="equal">
      <x:formula>COUNTBLANK(G67:G67)=0</x:formula>
    </x:cfRule>
  </x:conditionalFormatting>
  <x:conditionalFormatting sqref="H69:K70">
    <x:cfRule type="expression" priority="5" stopIfTrue="1" operator="equal">
      <x:formula>COUNTBLANK($G69)=1</x:formula>
    </x:cfRule>
    <x:cfRule type="containsBlanks" dxfId="0" priority="6">
      <x:formula>LEN(TRIM(H69))=0</x:formula>
    </x:cfRule>
  </x:conditionalFormatting>
  <x:conditionalFormatting sqref="K63:K64">
    <x:cfRule type="expression" dxfId="3" priority="7" operator="equal">
      <x:formula>COUNTBLANK(G63:G63)=0</x:formula>
    </x:cfRule>
  </x:conditionalFormatting>
  <x:conditionalFormatting sqref="H65:K66">
    <x:cfRule type="expression" priority="8" stopIfTrue="1" operator="equal">
      <x:formula>COUNTBLANK($G65)=1</x:formula>
    </x:cfRule>
    <x:cfRule type="containsBlanks" dxfId="0" priority="9">
      <x:formula>LEN(TRIM(H65))=0</x:formula>
    </x:cfRule>
  </x:conditionalFormatting>
  <x:conditionalFormatting sqref="K59:K60">
    <x:cfRule type="expression" dxfId="3" priority="10" operator="equal">
      <x:formula>COUNTBLANK(G59:G59)=0</x:formula>
    </x:cfRule>
  </x:conditionalFormatting>
  <x:conditionalFormatting sqref="H61:K62">
    <x:cfRule type="expression" priority="11" stopIfTrue="1" operator="equal">
      <x:formula>COUNTBLANK($G61)=1</x:formula>
    </x:cfRule>
    <x:cfRule type="containsBlanks" dxfId="0" priority="12">
      <x:formula>LEN(TRIM(H61))=0</x:formula>
    </x:cfRule>
  </x:conditionalFormatting>
  <x:conditionalFormatting sqref="K55:K56">
    <x:cfRule type="expression" dxfId="3" priority="13" operator="equal">
      <x:formula>COUNTBLANK(G55:G55)=0</x:formula>
    </x:cfRule>
  </x:conditionalFormatting>
  <x:conditionalFormatting sqref="H57:K58">
    <x:cfRule type="expression" priority="14" stopIfTrue="1" operator="equal">
      <x:formula>COUNTBLANK($G57)=1</x:formula>
    </x:cfRule>
    <x:cfRule type="containsBlanks" dxfId="0" priority="15">
      <x:formula>LEN(TRIM(H57))=0</x:formula>
    </x:cfRule>
  </x:conditionalFormatting>
  <x:conditionalFormatting sqref="K51:K52">
    <x:cfRule type="expression" dxfId="3" priority="16" operator="equal">
      <x:formula>COUNTBLANK(G51:G51)=0</x:formula>
    </x:cfRule>
  </x:conditionalFormatting>
  <x:conditionalFormatting sqref="H53:K54">
    <x:cfRule type="expression" priority="17" stopIfTrue="1" operator="equal">
      <x:formula>COUNTBLANK($G53)=1</x:formula>
    </x:cfRule>
    <x:cfRule type="containsBlanks" dxfId="0" priority="18">
      <x:formula>LEN(TRIM(H53))=0</x:formula>
    </x:cfRule>
  </x:conditionalFormatting>
  <x:conditionalFormatting sqref="K47:K48">
    <x:cfRule type="expression" dxfId="3" priority="19" operator="equal">
      <x:formula>COUNTBLANK(G47:G47)=0</x:formula>
    </x:cfRule>
  </x:conditionalFormatting>
  <x:conditionalFormatting sqref="H49:K50">
    <x:cfRule type="expression" priority="20" stopIfTrue="1" operator="equal">
      <x:formula>COUNTBLANK($G49)=1</x:formula>
    </x:cfRule>
    <x:cfRule type="containsBlanks" dxfId="0" priority="21">
      <x:formula>LEN(TRIM(H49))=0</x:formula>
    </x:cfRule>
  </x:conditionalFormatting>
  <x:conditionalFormatting sqref="K43:K44">
    <x:cfRule type="expression" dxfId="3" priority="22" operator="equal">
      <x:formula>COUNTBLANK(G43:G43)=0</x:formula>
    </x:cfRule>
  </x:conditionalFormatting>
  <x:conditionalFormatting sqref="H45:K46">
    <x:cfRule type="expression" priority="23" stopIfTrue="1" operator="equal">
      <x:formula>COUNTBLANK($G45)=1</x:formula>
    </x:cfRule>
    <x:cfRule type="containsBlanks" dxfId="0" priority="24">
      <x:formula>LEN(TRIM(H45))=0</x:formula>
    </x:cfRule>
  </x:conditionalFormatting>
  <x:conditionalFormatting sqref="K39:K40">
    <x:cfRule type="expression" dxfId="3" priority="25" operator="equal">
      <x:formula>COUNTBLANK(G39:G39)=0</x:formula>
    </x:cfRule>
  </x:conditionalFormatting>
  <x:conditionalFormatting sqref="H41:K42">
    <x:cfRule type="expression" priority="26" stopIfTrue="1" operator="equal">
      <x:formula>COUNTBLANK($G41)=1</x:formula>
    </x:cfRule>
    <x:cfRule type="containsBlanks" dxfId="0" priority="27">
      <x:formula>LEN(TRIM(H41))=0</x:formula>
    </x:cfRule>
  </x:conditionalFormatting>
  <x:conditionalFormatting sqref="K35:K36">
    <x:cfRule type="expression" dxfId="3" priority="28" operator="equal">
      <x:formula>COUNTBLANK(G35:G35)=0</x:formula>
    </x:cfRule>
  </x:conditionalFormatting>
  <x:conditionalFormatting sqref="H37:K38">
    <x:cfRule type="expression" priority="29" stopIfTrue="1" operator="equal">
      <x:formula>COUNTBLANK($G37)=1</x:formula>
    </x:cfRule>
    <x:cfRule type="containsBlanks" dxfId="0" priority="30">
      <x:formula>LEN(TRIM(H37))=0</x:formula>
    </x:cfRule>
  </x:conditionalFormatting>
  <x:conditionalFormatting sqref="K31:K32">
    <x:cfRule type="expression" dxfId="3" priority="31" operator="equal">
      <x:formula>COUNTBLANK(G31:G31)=0</x:formula>
    </x:cfRule>
  </x:conditionalFormatting>
  <x:conditionalFormatting sqref="H33:K34">
    <x:cfRule type="expression" priority="32" stopIfTrue="1" operator="equal">
      <x:formula>COUNTBLANK($G33)=1</x:formula>
    </x:cfRule>
    <x:cfRule type="containsBlanks" dxfId="0" priority="33">
      <x:formula>LEN(TRIM(H33))=0</x:formula>
    </x:cfRule>
  </x:conditionalFormatting>
  <x:conditionalFormatting sqref="K11:K12 K15:K16 K19:K20 K23:K24 K27:K28">
    <x:cfRule type="expression" dxfId="3" priority="34" operator="equal">
      <x:formula>COUNTBLANK(G11:G11)=0</x:formula>
    </x:cfRule>
  </x:conditionalFormatting>
  <x:conditionalFormatting sqref="H13:K14">
    <x:cfRule type="expression" priority="35" stopIfTrue="1" operator="equal">
      <x:formula>COUNTBLANK($G13)=1</x:formula>
    </x:cfRule>
    <x:cfRule type="containsBlanks" dxfId="0" priority="36">
      <x:formula>LEN(TRIM(H13))=0</x:formula>
    </x:cfRule>
  </x:conditionalFormatting>
  <x:conditionalFormatting sqref="I71:J72">
    <x:cfRule type="expression" dxfId="4" priority="37" operator="equal">
      <x:formula>COUNTBLANK(E71:E71)=0</x:formula>
    </x:cfRule>
  </x:conditionalFormatting>
  <x:conditionalFormatting sqref="H71:H72">
    <x:cfRule type="expression" priority="38" stopIfTrue="1" operator="equal">
      <x:formula>COUNTBLANK($G71)=1</x:formula>
    </x:cfRule>
    <x:cfRule type="containsBlanks" dxfId="0" priority="39">
      <x:formula>LEN(TRIM(H71))=0</x:formula>
    </x:cfRule>
  </x:conditionalFormatting>
  <x:conditionalFormatting sqref="I67:J68">
    <x:cfRule type="expression" dxfId="4" priority="40" operator="equal">
      <x:formula>COUNTBLANK(E67:E67)=0</x:formula>
    </x:cfRule>
  </x:conditionalFormatting>
  <x:conditionalFormatting sqref="H67:H68">
    <x:cfRule type="expression" priority="41" stopIfTrue="1" operator="equal">
      <x:formula>COUNTBLANK($G67)=1</x:formula>
    </x:cfRule>
    <x:cfRule type="containsBlanks" dxfId="0" priority="42">
      <x:formula>LEN(TRIM(H67))=0</x:formula>
    </x:cfRule>
  </x:conditionalFormatting>
  <x:conditionalFormatting sqref="I63:J64">
    <x:cfRule type="expression" dxfId="4" priority="43" operator="equal">
      <x:formula>COUNTBLANK(E63:E63)=0</x:formula>
    </x:cfRule>
  </x:conditionalFormatting>
  <x:conditionalFormatting sqref="H63:H64">
    <x:cfRule type="expression" priority="44" stopIfTrue="1" operator="equal">
      <x:formula>COUNTBLANK($G63)=1</x:formula>
    </x:cfRule>
    <x:cfRule type="containsBlanks" dxfId="0" priority="45">
      <x:formula>LEN(TRIM(H63))=0</x:formula>
    </x:cfRule>
  </x:conditionalFormatting>
  <x:conditionalFormatting sqref="I59:J60">
    <x:cfRule type="expression" dxfId="4" priority="46" operator="equal">
      <x:formula>COUNTBLANK(E59:E59)=0</x:formula>
    </x:cfRule>
  </x:conditionalFormatting>
  <x:conditionalFormatting sqref="H59:H60">
    <x:cfRule type="expression" priority="47" stopIfTrue="1" operator="equal">
      <x:formula>COUNTBLANK($G59)=1</x:formula>
    </x:cfRule>
    <x:cfRule type="containsBlanks" dxfId="0" priority="48">
      <x:formula>LEN(TRIM(H59))=0</x:formula>
    </x:cfRule>
  </x:conditionalFormatting>
  <x:conditionalFormatting sqref="I55:J56">
    <x:cfRule type="expression" dxfId="4" priority="49" operator="equal">
      <x:formula>COUNTBLANK(E55:E55)=0</x:formula>
    </x:cfRule>
  </x:conditionalFormatting>
  <x:conditionalFormatting sqref="H55:H56">
    <x:cfRule type="expression" priority="50" stopIfTrue="1" operator="equal">
      <x:formula>COUNTBLANK($G55)=1</x:formula>
    </x:cfRule>
    <x:cfRule type="containsBlanks" dxfId="0" priority="51">
      <x:formula>LEN(TRIM(H55))=0</x:formula>
    </x:cfRule>
  </x:conditionalFormatting>
  <x:conditionalFormatting sqref="I51:J52">
    <x:cfRule type="expression" dxfId="4" priority="52" operator="equal">
      <x:formula>COUNTBLANK(E51:E51)=0</x:formula>
    </x:cfRule>
  </x:conditionalFormatting>
  <x:conditionalFormatting sqref="H51:H52">
    <x:cfRule type="expression" priority="53" stopIfTrue="1" operator="equal">
      <x:formula>COUNTBLANK($G51)=1</x:formula>
    </x:cfRule>
    <x:cfRule type="containsBlanks" dxfId="0" priority="54">
      <x:formula>LEN(TRIM(H51))=0</x:formula>
    </x:cfRule>
  </x:conditionalFormatting>
  <x:conditionalFormatting sqref="I47:J48">
    <x:cfRule type="expression" dxfId="4" priority="55" operator="equal">
      <x:formula>COUNTBLANK(E47:E47)=0</x:formula>
    </x:cfRule>
  </x:conditionalFormatting>
  <x:conditionalFormatting sqref="H47:H48">
    <x:cfRule type="expression" priority="56" stopIfTrue="1" operator="equal">
      <x:formula>COUNTBLANK($G47)=1</x:formula>
    </x:cfRule>
    <x:cfRule type="containsBlanks" dxfId="0" priority="57">
      <x:formula>LEN(TRIM(H47))=0</x:formula>
    </x:cfRule>
  </x:conditionalFormatting>
  <x:conditionalFormatting sqref="I43:J44">
    <x:cfRule type="expression" dxfId="4" priority="58" operator="equal">
      <x:formula>COUNTBLANK(E43:E43)=0</x:formula>
    </x:cfRule>
  </x:conditionalFormatting>
  <x:conditionalFormatting sqref="H43:H44">
    <x:cfRule type="expression" priority="59" stopIfTrue="1" operator="equal">
      <x:formula>COUNTBLANK($G43)=1</x:formula>
    </x:cfRule>
    <x:cfRule type="containsBlanks" dxfId="0" priority="60">
      <x:formula>LEN(TRIM(H43))=0</x:formula>
    </x:cfRule>
  </x:conditionalFormatting>
  <x:conditionalFormatting sqref="I39:J40">
    <x:cfRule type="expression" dxfId="4" priority="61" operator="equal">
      <x:formula>COUNTBLANK(E39:E39)=0</x:formula>
    </x:cfRule>
  </x:conditionalFormatting>
  <x:conditionalFormatting sqref="H39:H40">
    <x:cfRule type="expression" priority="62" stopIfTrue="1" operator="equal">
      <x:formula>COUNTBLANK($G39)=1</x:formula>
    </x:cfRule>
    <x:cfRule type="containsBlanks" dxfId="0" priority="63">
      <x:formula>LEN(TRIM(H39))=0</x:formula>
    </x:cfRule>
  </x:conditionalFormatting>
  <x:conditionalFormatting sqref="I35:J36">
    <x:cfRule type="expression" dxfId="4" priority="64" operator="equal">
      <x:formula>COUNTBLANK(E35:E35)=0</x:formula>
    </x:cfRule>
  </x:conditionalFormatting>
  <x:conditionalFormatting sqref="H35:H36">
    <x:cfRule type="expression" priority="65" stopIfTrue="1" operator="equal">
      <x:formula>COUNTBLANK($G35)=1</x:formula>
    </x:cfRule>
    <x:cfRule type="containsBlanks" dxfId="0" priority="66">
      <x:formula>LEN(TRIM(H35))=0</x:formula>
    </x:cfRule>
  </x:conditionalFormatting>
  <x:conditionalFormatting sqref="I31:J32">
    <x:cfRule type="expression" dxfId="4" priority="67" operator="equal">
      <x:formula>COUNTBLANK(E31:E31)=0</x:formula>
    </x:cfRule>
  </x:conditionalFormatting>
  <x:conditionalFormatting sqref="H31:H32">
    <x:cfRule type="expression" priority="68" stopIfTrue="1" operator="equal">
      <x:formula>COUNTBLANK($G31)=1</x:formula>
    </x:cfRule>
    <x:cfRule type="containsBlanks" dxfId="0" priority="69">
      <x:formula>LEN(TRIM(H31))=0</x:formula>
    </x:cfRule>
  </x:conditionalFormatting>
  <x:conditionalFormatting sqref="I27:J28 K29:K30">
    <x:cfRule type="expression" dxfId="4" priority="70" operator="equal">
      <x:formula>COUNTBLANK(E27:E27)=0</x:formula>
    </x:cfRule>
  </x:conditionalFormatting>
  <x:conditionalFormatting sqref="H27:H30 I29:J30">
    <x:cfRule type="expression" priority="71" stopIfTrue="1" operator="equal">
      <x:formula>COUNTBLANK($G27)=1</x:formula>
    </x:cfRule>
    <x:cfRule type="containsBlanks" dxfId="0" priority="72">
      <x:formula>LEN(TRIM(H27))=0</x:formula>
    </x:cfRule>
  </x:conditionalFormatting>
  <x:conditionalFormatting sqref="I23:J24 K25:K26">
    <x:cfRule type="expression" dxfId="4" priority="73" operator="equal">
      <x:formula>COUNTBLANK(E23:E23)=0</x:formula>
    </x:cfRule>
  </x:conditionalFormatting>
  <x:conditionalFormatting sqref="H23:H26 I25:J26">
    <x:cfRule type="expression" priority="74" stopIfTrue="1" operator="equal">
      <x:formula>COUNTBLANK($G23)=1</x:formula>
    </x:cfRule>
    <x:cfRule type="containsBlanks" dxfId="0" priority="75">
      <x:formula>LEN(TRIM(H23))=0</x:formula>
    </x:cfRule>
  </x:conditionalFormatting>
  <x:conditionalFormatting sqref="I19:J20 K21:K22">
    <x:cfRule type="expression" dxfId="4" priority="76" operator="equal">
      <x:formula>COUNTBLANK(E19:E19)=0</x:formula>
    </x:cfRule>
  </x:conditionalFormatting>
  <x:conditionalFormatting sqref="H19:H22 I21:J22">
    <x:cfRule type="expression" priority="77" stopIfTrue="1" operator="equal">
      <x:formula>COUNTBLANK($G19)=1</x:formula>
    </x:cfRule>
    <x:cfRule type="containsBlanks" dxfId="0" priority="78">
      <x:formula>LEN(TRIM(H19))=0</x:formula>
    </x:cfRule>
  </x:conditionalFormatting>
  <x:conditionalFormatting sqref="I15:J16 K17:K18">
    <x:cfRule type="expression" dxfId="4" priority="79" operator="equal">
      <x:formula>COUNTBLANK(E15:E15)=0</x:formula>
    </x:cfRule>
  </x:conditionalFormatting>
  <x:conditionalFormatting sqref="H15:H18 I17:J18">
    <x:cfRule type="expression" priority="80" stopIfTrue="1" operator="equal">
      <x:formula>COUNTBLANK($G15)=1</x:formula>
    </x:cfRule>
    <x:cfRule type="containsBlanks" dxfId="0" priority="81">
      <x:formula>LEN(TRIM(H15))=0</x:formula>
    </x:cfRule>
  </x:conditionalFormatting>
  <x:conditionalFormatting sqref="I11:J12">
    <x:cfRule type="expression" dxfId="4" priority="82" operator="equal">
      <x:formula>COUNTBLANK(E11:E11)=0</x:formula>
    </x:cfRule>
  </x:conditionalFormatting>
  <x:conditionalFormatting sqref="H11:H12">
    <x:cfRule type="expression" priority="83" stopIfTrue="1" operator="equal">
      <x:formula>COUNTBLANK($G11)=1</x:formula>
    </x:cfRule>
    <x:cfRule type="containsBlanks" dxfId="0" priority="84">
      <x:formula>LEN(TRIM(H11))=0</x:formula>
    </x:cfRule>
  </x:conditionalFormatting>
  <x:dataValidations disablePrompts="1" count="2">
    <x:dataValidation type="decimal" errorStyle="stop" operator="between" allowBlank="1" showDropDown="0" showInputMessage="1" showErrorMessage="1" errorTitle="" error="" promptTitle="" prompt="" sqref="O12:O14 O16:O18 O20:O22 O24:O26 O28:O30 O32:O34 O36:O38 O40:O42 O44:O46 O48:O50 O52:O54 O56:O58 O60:O62 O64:O66 O68:O70 O72:O74">
      <x:formula1>0</x:formula1>
      <x:formula2>10</x:formula2>
    </x:dataValidation>
    <x:dataValidation type="decimal" errorStyle="stop" operator="between" allowBlank="1" showDropDown="0" showInputMessage="1" showErrorMessage="1" errorTitle="Illegal input value" error="Please enter a value between 0 and 10" promptTitle="" prompt="" sqref="H11:N74">
      <x:formula1>-0.000001</x:formula1>
      <x:formula2>10</x:formula2>
    </x:dataValidation>
  </x:dataValidations>
  <x:printOptions horizontalCentered="0" verticalCentered="0" headings="0" gridLines="0"/>
  <x:pageMargins left="0.70866141732283472" right="0.70866141732283472" top="0.74803149606299213" bottom="0.74803149606299213" header="0.31496062992125984" footer="0.31496062992125984"/>
  <x:pageSetup paperSize="9" pageOrder="downThenOver" orientation="portrait" blackAndWhite="0" draft="0" cellComments="none" errors="displayed" r:id="rId1"/>
  <x:headerFooter differentOddEven="0" differentFirst="0" scaleWithDoc="1" alignWithMargins="1">
    <x:oddHeader>&amp;C&amp;"-,Fet"&amp;22Resultat Lätt klass individuell - Trähäst&amp;RVer.2019-06-01</x:oddHeader>
    <x:oddFooter>&amp;LGrund och Kür
A: </x:oddFooter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>
    <x:outlinePr summaryBelow="1" summaryRight="1"/>
    <x:pageSetUpPr fitToPage="1"/>
  </x:sheetPr>
  <x:dimension ref="A1:O74"/>
  <x:sheetViews>
    <x:sheetView zoomScale="70" zoomScalePageLayoutView="70" workbookViewId="0">
      <x:selection activeCell="D19" sqref="D19"/>
    </x:sheetView>
  </x:sheetViews>
  <x:sheetFormatPr defaultColWidth="11.464844" defaultRowHeight="15.75" x14ac:dyDescent="0.5"/>
  <x:cols>
    <x:col min="1" max="1" width="11.464844" style="99" customWidth="1"/>
    <x:col min="2" max="3" width="11.464844" style="99" hidden="1" customWidth="1"/>
    <x:col min="4" max="4" width="27.53125" style="100" customWidth="1"/>
    <x:col min="5" max="5" width="7.199219" style="99" customWidth="1"/>
    <x:col min="6" max="6" width="28.265625" style="99" customWidth="1"/>
    <x:col min="7" max="12" width="11.464844" style="99" customWidth="1"/>
    <x:col min="13" max="14" width="11.464844" style="99" hidden="1" customWidth="1"/>
    <x:col min="15" max="15" width="36.796875" style="99" customWidth="1"/>
    <x:col min="16" max="16384" width="11.464844" style="34" customWidth="1"/>
  </x:cols>
  <x:sheetData>
    <x:row r="1" spans="1:87" x14ac:dyDescent="0.5">
      <x:c r="A1" s="33" t="s">
        <x:v>77</x:v>
      </x:c>
      <x:c r="B1" s="83" t="s"/>
      <x:c r="C1" s="83" t="s"/>
      <x:c r="D1" s="98" t="s"/>
    </x:row>
    <x:row r="2" spans="1:87" x14ac:dyDescent="0.5">
      <x:c r="A2" s="33" t="s">
        <x:v>78</x:v>
      </x:c>
      <x:c r="B2" s="269" t="s"/>
      <x:c r="C2" s="269" t="s"/>
      <x:c r="D2" s="98" t="s"/>
    </x:row>
    <x:row r="3" spans="1:87" x14ac:dyDescent="0.5">
      <x:c r="A3" s="33" t="s">
        <x:v>79</x:v>
      </x:c>
      <x:c r="B3" s="83" t="s"/>
      <x:c r="C3" s="83" t="s"/>
      <x:c r="D3" s="98" t="s"/>
    </x:row>
    <x:row r="4" spans="1:87" customFormat="1" ht="16.15" customHeight="1" thickBot="1" x14ac:dyDescent="0.55000000000000004">
      <x:c r="A4" s="34" t="s"/>
      <x:c r="B4" s="34" t="s"/>
      <x:c r="C4" s="34" t="s"/>
    </x:row>
    <x:row r="5" spans="1:87" x14ac:dyDescent="0.5">
      <x:c r="A5" s="280" t="s"/>
      <x:c r="B5" s="281" t="s"/>
      <x:c r="C5" s="281" t="s"/>
      <x:c r="D5" s="282" t="s"/>
      <x:c r="E5" s="283" t="s"/>
      <x:c r="F5" s="284" t="s"/>
      <x:c r="G5" s="285" t="s"/>
      <x:c r="H5" s="286" t="s">
        <x:v>80</x:v>
      </x:c>
      <x:c r="I5" s="285" t="s">
        <x:v>81</x:v>
      </x:c>
      <x:c r="J5" s="285" t="s">
        <x:v>82</x:v>
      </x:c>
      <x:c r="K5" s="285" t="s">
        <x:v>83</x:v>
      </x:c>
      <x:c r="L5" s="287" t="s"/>
      <x:c r="M5" s="288" t="s"/>
      <x:c r="N5" s="288" t="s"/>
      <x:c r="O5" s="289" t="s"/>
    </x:row>
    <x:row r="6" spans="1:87" x14ac:dyDescent="0.5">
      <x:c r="A6" s="290" t="s">
        <x:v>84</x:v>
      </x:c>
      <x:c r="B6" s="291" t="s"/>
      <x:c r="C6" s="291" t="s"/>
      <x:c r="D6" s="291" t="s">
        <x:v>85</x:v>
      </x:c>
      <x:c r="E6" s="292" t="s"/>
      <x:c r="F6" s="293" t="s">
        <x:v>86</x:v>
      </x:c>
      <x:c r="G6" s="294" t="s">
        <x:v>30</x:v>
      </x:c>
      <x:c r="H6" s="294" t="s">
        <x:v>30</x:v>
      </x:c>
      <x:c r="I6" s="294" t="s">
        <x:v>30</x:v>
      </x:c>
      <x:c r="J6" s="294" t="s"/>
      <x:c r="K6" s="295" t="s"/>
      <x:c r="L6" s="296" t="s">
        <x:v>87</x:v>
      </x:c>
      <x:c r="M6" s="297" t="s"/>
      <x:c r="N6" s="297" t="s"/>
      <x:c r="O6" s="298" t="s"/>
    </x:row>
    <x:row r="7" spans="1:87" x14ac:dyDescent="0.5">
      <x:c r="A7" s="299" t="s"/>
      <x:c r="B7" s="300" t="s"/>
      <x:c r="C7" s="300" t="s"/>
      <x:c r="D7" s="301" t="s"/>
      <x:c r="E7" s="302" t="s"/>
      <x:c r="F7" s="293" t="s"/>
      <x:c r="G7" s="295" t="s">
        <x:v>10</x:v>
      </x:c>
      <x:c r="H7" s="295" t="s">
        <x:v>10</x:v>
      </x:c>
      <x:c r="I7" s="295" t="s">
        <x:v>10</x:v>
      </x:c>
      <x:c r="J7" s="295" t="s"/>
      <x:c r="K7" s="295" t="s"/>
      <x:c r="L7" s="296" t="s">
        <x:v>88</x:v>
      </x:c>
      <x:c r="M7" s="297" t="s"/>
      <x:c r="N7" s="297" t="s"/>
      <x:c r="O7" s="298" t="s">
        <x:v>87</x:v>
      </x:c>
    </x:row>
    <x:row r="8" spans="1:87" x14ac:dyDescent="0.5">
      <x:c r="A8" s="299" t="s"/>
      <x:c r="B8" s="300" t="s"/>
      <x:c r="C8" s="300" t="s"/>
      <x:c r="D8" s="291" t="s"/>
      <x:c r="E8" s="302" t="s"/>
      <x:c r="F8" s="303" t="s"/>
      <x:c r="G8" s="304" t="s"/>
      <x:c r="H8" s="295" t="s"/>
      <x:c r="I8" s="295" t="s"/>
      <x:c r="J8" s="295" t="s"/>
      <x:c r="K8" s="295" t="s"/>
      <x:c r="L8" s="296" t="s"/>
      <x:c r="M8" s="297" t="s"/>
      <x:c r="N8" s="297" t="s"/>
      <x:c r="O8" s="298" t="s"/>
    </x:row>
    <x:row r="9" spans="1:87" customFormat="1" ht="16.15" customHeight="1" thickBot="1" x14ac:dyDescent="0.55000000000000004">
      <x:c r="A9" s="305" t="s"/>
      <x:c r="B9" s="306" t="s"/>
      <x:c r="C9" s="306" t="s"/>
      <x:c r="D9" s="307" t="s"/>
      <x:c r="E9" s="308" t="s"/>
      <x:c r="F9" s="309" t="s"/>
      <x:c r="G9" s="310" t="s"/>
      <x:c r="H9" s="310" t="s"/>
      <x:c r="I9" s="310" t="s"/>
      <x:c r="J9" s="310" t="s"/>
      <x:c r="K9" s="310" t="s"/>
      <x:c r="L9" s="311" t="s"/>
      <x:c r="M9" s="312" t="s"/>
      <x:c r="N9" s="312" t="s"/>
      <x:c r="O9" s="313" t="s"/>
    </x:row>
    <x:row r="10" spans="1:87" customFormat="1" ht="16.15" customHeight="1" thickBot="1" x14ac:dyDescent="0.55000000000000004">
      <x:c r="A10" s="69" t="s"/>
      <x:c r="B10" s="70" t="s"/>
      <x:c r="C10" s="70" t="s"/>
      <x:c r="D10" s="71" t="s"/>
      <x:c r="E10" s="72" t="s"/>
      <x:c r="F10" s="73" t="s"/>
      <x:c r="G10" s="74" t="s"/>
      <x:c r="H10" s="74" t="s"/>
      <x:c r="I10" s="74" t="s"/>
      <x:c r="J10" s="74" t="s"/>
      <x:c r="K10" s="74" t="s"/>
      <x:c r="L10" s="75" t="s"/>
      <x:c r="M10" s="75" t="s"/>
      <x:c r="N10" s="75" t="s"/>
      <x:c r="O10" s="76" t="s"/>
    </x:row>
    <x:row r="11" spans="1:87" customFormat="1" ht="16.15" customHeight="1" thickBot="1" x14ac:dyDescent="0.55000000000000004">
      <x:c r="A11" s="114">
        <x:f>IF(O11=0,"",_xlfn.FLOOR.MATH(RANK(N11,$N$11:$N$131)/4+1+SUMPRODUCT(-(-($N$11:$N$131=N11)),-(-(O11&lt;$O$11:$O$131)))/4))</x:f>
      </x:c>
      <x:c r="B11" s="77" t="s">
        <x:v>89</x:v>
      </x:c>
      <x:c r="C11" s="77" t="n">
        <x:v>1</x:v>
      </x:c>
      <x:c r="D11" s="101" t="s"/>
      <x:c r="E11" s="102" t="s"/>
      <x:c r="F11" s="103" t="s"/>
      <x:c r="G11" s="78">
        <x:f>IF($G$6&lt;&gt;"",$G$6,"")</x:f>
      </x:c>
      <x:c r="H11" s="110" t="s"/>
      <x:c r="I11" s="110" t="s"/>
      <x:c r="J11" s="314" t="s"/>
      <x:c r="K11" s="314" t="s"/>
      <x:c r="L11" s="80">
        <x:f>IF(COUNTBLANK(H11:I11)=0,AVERAGE(H11:I11),-0.000001)</x:f>
      </x:c>
      <x:c r="M11" s="81">
        <x:f>IF(COUNTBLANK(H11:K11)=0,1,0)</x:f>
      </x:c>
      <x:c r="N11" s="81">
        <x:f>SUM(M11:M14)</x:f>
      </x:c>
      <x:c r="O11" s="82">
        <x:f>IF(COUNTIF(L11:L14,"&gt;=0"),ROUND(AVERAGEIF(L11:L14,"&gt;=0"),3),0)</x:f>
      </x:c>
    </x:row>
    <x:row r="12" spans="1:87" customFormat="1" ht="16.15" customHeight="1" thickBot="1" x14ac:dyDescent="0.55000000000000004">
      <x:c r="A12" s="115">
        <x:f>IF(O12=0,"",_xlfn.FLOOR.MATH(RANK(N12,$N$11:$N$131)/4+1+SUMPRODUCT(-(-($N$11:$N$131=N12)),-(-(O12&lt;$O$11:$O$131)))/4))</x:f>
      </x:c>
      <x:c r="B12" s="34" t="s">
        <x:v>89</x:v>
      </x:c>
      <x:c r="C12" s="34" t="n">
        <x:v>2</x:v>
      </x:c>
      <x:c r="D12" s="104" t="s"/>
      <x:c r="E12" s="105" t="s"/>
      <x:c r="F12" s="106" t="s"/>
      <x:c r="G12" s="83">
        <x:f>IF($G$7&lt;&gt;"",$G$7,"")</x:f>
      </x:c>
      <x:c r="H12" s="111" t="s"/>
      <x:c r="I12" s="111" t="s"/>
      <x:c r="J12" s="314" t="s"/>
      <x:c r="K12" s="314" t="s"/>
      <x:c r="L12" s="96">
        <x:f>IF(COUNTBLANK(H12:I12)=0,AVERAGE(H12:I12),-0.000001)</x:f>
      </x:c>
      <x:c r="M12" s="81">
        <x:f>IF(COUNTBLANK(H12:K12)=0,1,0)</x:f>
      </x:c>
      <x:c r="N12" s="84">
        <x:f>SUM(M11:M14)</x:f>
      </x:c>
      <x:c r="O12" s="85">
        <x:f>IF(COUNTIF(L11:L14,"&gt;=0"),ROUND(AVERAGEIF(L11:L14,"&gt;=0"),3),0)</x:f>
      </x:c>
    </x:row>
    <x:row r="13" spans="1:87" customFormat="1" ht="16.15" customHeight="1" thickBot="1" x14ac:dyDescent="0.55000000000000004">
      <x:c r="A13" s="116">
        <x:f>IF(O13=0,"",_xlfn.FLOOR.MATH(RANK(N13,$N$11:$N$131)/4+1+SUMPRODUCT(-(-($N$11:$N$131=N13)),-(-(O13&lt;$O$11:$O$131)))/4))</x:f>
      </x:c>
      <x:c r="B13" s="34" t="s">
        <x:v>89</x:v>
      </x:c>
      <x:c r="C13" s="34" t="n">
        <x:v>3</x:v>
      </x:c>
      <x:c r="E13" s="105" t="s"/>
      <x:c r="G13" s="86">
        <x:f>IF($G$8&lt;&gt;"",$G$8,"")</x:f>
      </x:c>
      <x:c r="H13" s="112" t="s"/>
      <x:c r="I13" s="112" t="s"/>
      <x:c r="J13" s="87" t="s"/>
      <x:c r="K13" s="87" t="s"/>
      <x:c r="L13" s="97" t="s"/>
      <x:c r="M13" s="81">
        <x:f>IF(COUNTBLANK(H13:K13)=0,1,0)</x:f>
      </x:c>
      <x:c r="N13" s="84">
        <x:f>SUM(M11:M14)</x:f>
      </x:c>
      <x:c r="O13" s="89">
        <x:f>IF(COUNTIF(L11:L14,"&gt;=0"),ROUND(AVERAGEIF(L11:L14,"&gt;=0"),3),0)</x:f>
      </x:c>
    </x:row>
    <x:row r="14" spans="1:87" customFormat="1" ht="16.15" customHeight="1" thickBot="1" x14ac:dyDescent="0.55000000000000004">
      <x:c r="A14" s="117">
        <x:f>IF(O14=0,"",_xlfn.FLOOR.MATH(RANK(N14,$N$11:$N$131)/4+1+SUMPRODUCT(-(-($N$11:$N$131=N14)),-(-(O14&lt;$O$11:$O$131)))/4))</x:f>
      </x:c>
      <x:c r="B14" s="74" t="s">
        <x:v>89</x:v>
      </x:c>
      <x:c r="C14" s="74" t="n">
        <x:v>4</x:v>
      </x:c>
      <x:c r="D14" s="107" t="s"/>
      <x:c r="E14" s="108" t="s"/>
      <x:c r="F14" s="109" t="s"/>
      <x:c r="G14" s="90">
        <x:f>IF($G$9&lt;&gt;"",$G$9,"")</x:f>
      </x:c>
      <x:c r="H14" s="113" t="s"/>
      <x:c r="I14" s="113" t="s"/>
      <x:c r="J14" s="91" t="s"/>
      <x:c r="K14" s="91" t="s"/>
      <x:c r="L14" s="93" t="s"/>
      <x:c r="M14" s="81">
        <x:f>IF(COUNTBLANK(H14:K14)=0,1,0)</x:f>
      </x:c>
      <x:c r="N14" s="94">
        <x:f>SUM(M11:M14)</x:f>
      </x:c>
      <x:c r="O14" s="95">
        <x:f>IF(COUNTIF(L11:L14,"&gt;=0"),ROUND(AVERAGEIF(L11:L14,"&gt;=0"),3),0)</x:f>
      </x:c>
    </x:row>
    <x:row r="15" spans="1:87" customFormat="1" ht="16.15" customHeight="1" thickBot="1" x14ac:dyDescent="0.55000000000000004">
      <x:c r="A15" s="114">
        <x:f>IF(O15=0,"",_xlfn.FLOOR.MATH(RANK(N15,$N$11:$N$131)/4+1+SUMPRODUCT(-(-($N$11:$N$131=N15)),-(-(O15&lt;$O$11:$O$131)))/4))</x:f>
      </x:c>
      <x:c r="B15" s="77" t="s">
        <x:v>89</x:v>
      </x:c>
      <x:c r="C15" s="77" t="n">
        <x:v>1</x:v>
      </x:c>
      <x:c r="D15" s="101" t="s"/>
      <x:c r="E15" s="102" t="s"/>
      <x:c r="F15" s="103" t="s"/>
      <x:c r="G15" s="78">
        <x:f>IF($G$6&lt;&gt;"",$G$6,"")</x:f>
      </x:c>
      <x:c r="H15" s="110" t="s"/>
      <x:c r="I15" s="110" t="s"/>
      <x:c r="J15" s="314" t="s"/>
      <x:c r="K15" s="314" t="s"/>
      <x:c r="L15" s="80">
        <x:f>IF(COUNTBLANK(H15:I15)=0,AVERAGE(H15:I15),-0.000001)</x:f>
      </x:c>
      <x:c r="M15" s="81">
        <x:f>IF(COUNTBLANK(H15:K15)=0,1,0)</x:f>
      </x:c>
      <x:c r="N15" s="81">
        <x:f>SUM(M15:M18)</x:f>
      </x:c>
      <x:c r="O15" s="82">
        <x:f>IF(COUNTIF(L15:L18,"&gt;=0"),ROUND(AVERAGEIF(L15:L18,"&gt;=0"),3),0)</x:f>
      </x:c>
    </x:row>
    <x:row r="16" spans="1:87" customFormat="1" ht="16.15" customHeight="1" thickBot="1" x14ac:dyDescent="0.55000000000000004">
      <x:c r="A16" s="115">
        <x:f>IF(O16=0,"",_xlfn.FLOOR.MATH(RANK(N16,$N$11:$N$131)/4+1+SUMPRODUCT(-(-($N$11:$N$131=N16)),-(-(O16&lt;$O$11:$O$131)))/4))</x:f>
      </x:c>
      <x:c r="B16" s="34" t="s">
        <x:v>89</x:v>
      </x:c>
      <x:c r="C16" s="34" t="n">
        <x:v>2</x:v>
      </x:c>
      <x:c r="D16" s="104" t="s"/>
      <x:c r="E16" s="105" t="s"/>
      <x:c r="F16" s="106" t="s"/>
      <x:c r="G16" s="83">
        <x:f>IF($G$7&lt;&gt;"",$G$7,"")</x:f>
      </x:c>
      <x:c r="H16" s="111" t="s"/>
      <x:c r="I16" s="111" t="s"/>
      <x:c r="J16" s="314" t="s"/>
      <x:c r="K16" s="314" t="s"/>
      <x:c r="L16" s="96">
        <x:f>IF(COUNTBLANK(H16:I16)=0,AVERAGE(H16:I16),-0.000001)</x:f>
      </x:c>
      <x:c r="M16" s="81">
        <x:f>IF(COUNTBLANK(H16:K16)=0,1,0)</x:f>
      </x:c>
      <x:c r="N16" s="84">
        <x:f>SUM(M15:M18)</x:f>
      </x:c>
      <x:c r="O16" s="85">
        <x:f>IF(COUNTIF(L15:L18,"&gt;=0"),ROUND(AVERAGEIF(L15:L18,"&gt;=0"),3),0)</x:f>
      </x:c>
    </x:row>
    <x:row r="17" spans="1:87" customFormat="1" ht="16.15" customHeight="1" thickBot="1" x14ac:dyDescent="0.55000000000000004">
      <x:c r="A17" s="116">
        <x:f>IF(O17=0,"",_xlfn.FLOOR.MATH(RANK(N17,$N$11:$N$131)/4+1+SUMPRODUCT(-(-($N$11:$N$131=N17)),-(-(O17&lt;$O$11:$O$131)))/4))</x:f>
      </x:c>
      <x:c r="B17" s="34" t="s">
        <x:v>89</x:v>
      </x:c>
      <x:c r="C17" s="34" t="n">
        <x:v>3</x:v>
      </x:c>
      <x:c r="E17" s="105" t="s"/>
      <x:c r="G17" s="86">
        <x:f>IF($G$8&lt;&gt;"",$G$8,"")</x:f>
      </x:c>
      <x:c r="H17" s="112" t="s"/>
      <x:c r="I17" s="112" t="s"/>
      <x:c r="J17" s="87" t="s"/>
      <x:c r="K17" s="87" t="s"/>
      <x:c r="L17" s="97" t="s"/>
      <x:c r="M17" s="81">
        <x:f>IF(COUNTBLANK(H17:K17)=0,1,0)</x:f>
      </x:c>
      <x:c r="N17" s="84">
        <x:f>SUM(M15:M18)</x:f>
      </x:c>
      <x:c r="O17" s="89">
        <x:f>IF(COUNTIF(L15:L18,"&gt;=0"),ROUND(AVERAGEIF(L15:L18,"&gt;=0"),3),0)</x:f>
      </x:c>
    </x:row>
    <x:row r="18" spans="1:87" customFormat="1" ht="16.15" customHeight="1" thickBot="1" x14ac:dyDescent="0.55000000000000004">
      <x:c r="A18" s="117">
        <x:f>IF(O18=0,"",_xlfn.FLOOR.MATH(RANK(N18,$N$11:$N$131)/4+1+SUMPRODUCT(-(-($N$11:$N$131=N18)),-(-(O18&lt;$O$11:$O$131)))/4))</x:f>
      </x:c>
      <x:c r="B18" s="74" t="s">
        <x:v>89</x:v>
      </x:c>
      <x:c r="C18" s="74" t="n">
        <x:v>4</x:v>
      </x:c>
      <x:c r="D18" s="107" t="s"/>
      <x:c r="E18" s="108" t="s"/>
      <x:c r="F18" s="109" t="s"/>
      <x:c r="G18" s="90">
        <x:f>IF($G$9&lt;&gt;"",$G$9,"")</x:f>
      </x:c>
      <x:c r="H18" s="113" t="s"/>
      <x:c r="I18" s="113" t="s"/>
      <x:c r="J18" s="91" t="s"/>
      <x:c r="K18" s="91" t="s"/>
      <x:c r="L18" s="93" t="s"/>
      <x:c r="M18" s="81">
        <x:f>IF(COUNTBLANK(H18:K18)=0,1,0)</x:f>
      </x:c>
      <x:c r="N18" s="94">
        <x:f>SUM(M15:M18)</x:f>
      </x:c>
      <x:c r="O18" s="95">
        <x:f>IF(COUNTIF(L15:L18,"&gt;=0"),ROUND(AVERAGEIF(L15:L18,"&gt;=0"),3),0)</x:f>
      </x:c>
    </x:row>
    <x:row r="19" spans="1:87" s="0" customFormat="1" ht="16.15" customHeight="1" thickBot="1" x14ac:dyDescent="0.55000000000000004">
      <x:c r="A19" s="114">
        <x:f>IF(O19=0,"",_xlfn.FLOOR.MATH(RANK(N19,$N$11:$N$131)/4+1+SUMPRODUCT(-(-($N$11:$N$131=N19)),-(-(O19&lt;$O$11:$O$131)))/4))</x:f>
      </x:c>
      <x:c r="B19" s="77" t="s">
        <x:v>89</x:v>
      </x:c>
      <x:c r="C19" s="77" t="n">
        <x:v>1</x:v>
      </x:c>
      <x:c r="D19" s="101" t="s"/>
      <x:c r="E19" s="102" t="s"/>
      <x:c r="F19" s="103" t="s"/>
      <x:c r="G19" s="78">
        <x:f>IF($G$6&lt;&gt;"",$G$6,"")</x:f>
      </x:c>
      <x:c r="H19" s="110" t="s"/>
      <x:c r="I19" s="110" t="s"/>
      <x:c r="J19" s="314" t="s"/>
      <x:c r="K19" s="314" t="s"/>
      <x:c r="L19" s="80">
        <x:f>IF(COUNTBLANK(H19:I19)=0,AVERAGE(H19:I19),-0.000001)</x:f>
      </x:c>
      <x:c r="M19" s="81">
        <x:f>IF(COUNTBLANK(H19:K19)=0,1,0)</x:f>
      </x:c>
      <x:c r="N19" s="81">
        <x:f>SUM(M19:M22)</x:f>
      </x:c>
      <x:c r="O19" s="82">
        <x:f>IF(COUNTIF(L19:L22,"&gt;=0"),ROUND(AVERAGEIF(L19:L22,"&gt;=0"),3),0)</x:f>
      </x:c>
      <x:c r="P19" s="0" t="s"/>
      <x:c r="Q19" s="0" t="s"/>
      <x:c r="R19" s="0" t="s"/>
      <x:c r="S19" s="0" t="s"/>
      <x:c r="T19" s="0" t="s"/>
      <x:c r="U19" s="0" t="s"/>
      <x:c r="V19" s="0" t="s"/>
      <x:c r="W19" s="0" t="s"/>
      <x:c r="X19" s="0" t="s"/>
      <x:c r="Y19" s="0" t="s"/>
      <x:c r="Z19" s="0" t="s"/>
      <x:c r="AA19" s="0" t="s"/>
      <x:c r="AB19" s="0" t="s"/>
      <x:c r="AC19" s="0" t="s"/>
      <x:c r="AD19" s="0" t="s"/>
      <x:c r="AE19" s="0" t="s"/>
      <x:c r="AF19" s="0" t="s"/>
      <x:c r="AG19" s="0" t="s"/>
      <x:c r="AH19" s="0" t="s"/>
      <x:c r="AI19" s="0" t="s"/>
      <x:c r="AJ19" s="0" t="s"/>
      <x:c r="AK19" s="0" t="s"/>
      <x:c r="AL19" s="0" t="s"/>
      <x:c r="AM19" s="0" t="s"/>
      <x:c r="AN19" s="0" t="s"/>
      <x:c r="AO19" s="0" t="s"/>
      <x:c r="AP19" s="0" t="s"/>
      <x:c r="AQ19" s="0" t="s"/>
      <x:c r="AR19" s="0" t="s"/>
      <x:c r="AS19" s="0" t="s"/>
      <x:c r="AT19" s="0" t="s"/>
      <x:c r="AU19" s="0" t="s"/>
      <x:c r="AV19" s="0" t="s"/>
      <x:c r="AW19" s="0" t="s"/>
      <x:c r="AX19" s="0" t="s"/>
      <x:c r="AY19" s="0" t="s"/>
      <x:c r="AZ19" s="0" t="s"/>
      <x:c r="BA19" s="0" t="s"/>
      <x:c r="BB19" s="0" t="s"/>
      <x:c r="BC19" s="0" t="s"/>
      <x:c r="BD19" s="0" t="s"/>
      <x:c r="BE19" s="0" t="s"/>
      <x:c r="BF19" s="0" t="s"/>
      <x:c r="BG19" s="0" t="s"/>
      <x:c r="BH19" s="0" t="s"/>
      <x:c r="BI19" s="0" t="s"/>
      <x:c r="BJ19" s="0" t="s"/>
      <x:c r="BK19" s="0" t="s"/>
      <x:c r="BL19" s="0" t="s"/>
      <x:c r="BM19" s="0" t="s"/>
      <x:c r="BN19" s="0" t="s"/>
      <x:c r="BO19" s="0" t="s"/>
      <x:c r="BP19" s="0" t="s"/>
      <x:c r="BQ19" s="0" t="s"/>
      <x:c r="BR19" s="0" t="s"/>
      <x:c r="BS19" s="0" t="s"/>
      <x:c r="BT19" s="0" t="s"/>
      <x:c r="BU19" s="0" t="s"/>
      <x:c r="BV19" s="0" t="s"/>
      <x:c r="BW19" s="0" t="s"/>
      <x:c r="BX19" s="0" t="s"/>
      <x:c r="BY19" s="0" t="s"/>
      <x:c r="BZ19" s="0" t="s"/>
      <x:c r="CA19" s="0" t="s"/>
      <x:c r="CB19" s="0" t="s"/>
      <x:c r="CC19" s="0" t="s"/>
      <x:c r="CD19" s="0" t="s"/>
      <x:c r="CE19" s="0" t="s"/>
      <x:c r="CF19" s="0" t="s"/>
      <x:c r="CG19" s="0" t="s"/>
      <x:c r="CH19" s="0" t="s"/>
      <x:c r="CI19" s="0" t="s"/>
    </x:row>
    <x:row r="20" spans="1:87" customFormat="1" ht="16.15" customHeight="1" thickBot="1" x14ac:dyDescent="0.55000000000000004">
      <x:c r="A20" s="115">
        <x:f>IF(O20=0,"",_xlfn.FLOOR.MATH(RANK(N20,$N$11:$N$131)/4+1+SUMPRODUCT(-(-($N$11:$N$131=N20)),-(-(O20&lt;$O$11:$O$131)))/4))</x:f>
      </x:c>
      <x:c r="B20" s="34" t="s">
        <x:v>89</x:v>
      </x:c>
      <x:c r="C20" s="34" t="n">
        <x:v>2</x:v>
      </x:c>
      <x:c r="D20" s="104" t="s"/>
      <x:c r="E20" s="105" t="s"/>
      <x:c r="F20" s="106" t="s"/>
      <x:c r="G20" s="83">
        <x:f>IF($G$7&lt;&gt;"",$G$7,"")</x:f>
      </x:c>
      <x:c r="H20" s="111" t="s"/>
      <x:c r="I20" s="111" t="s"/>
      <x:c r="J20" s="314" t="s"/>
      <x:c r="K20" s="314" t="s"/>
      <x:c r="L20" s="96">
        <x:f>IF(COUNTBLANK(H20:I20)=0,AVERAGE(H20:I20),-0.000001)</x:f>
      </x:c>
      <x:c r="M20" s="81">
        <x:f>IF(COUNTBLANK(H20:K20)=0,1,0)</x:f>
      </x:c>
      <x:c r="N20" s="84">
        <x:f>SUM(M19:M22)</x:f>
      </x:c>
      <x:c r="O20" s="85">
        <x:f>IF(COUNTIF(L19:L22,"&gt;=0"),ROUND(AVERAGEIF(L19:L22,"&gt;=0"),3),0)</x:f>
      </x:c>
    </x:row>
    <x:row r="21" spans="1:87" customFormat="1" ht="16.15" customHeight="1" thickBot="1" x14ac:dyDescent="0.55000000000000004">
      <x:c r="A21" s="116">
        <x:f>IF(O21=0,"",_xlfn.FLOOR.MATH(RANK(N21,$N$11:$N$131)/4+1+SUMPRODUCT(-(-($N$11:$N$131=N21)),-(-(O21&lt;$O$11:$O$131)))/4))</x:f>
      </x:c>
      <x:c r="B21" s="34" t="s">
        <x:v>89</x:v>
      </x:c>
      <x:c r="C21" s="34" t="n">
        <x:v>3</x:v>
      </x:c>
      <x:c r="E21" s="105" t="s"/>
      <x:c r="G21" s="86">
        <x:f>IF($G$8&lt;&gt;"",$G$8,"")</x:f>
      </x:c>
      <x:c r="H21" s="112" t="s"/>
      <x:c r="I21" s="112" t="s"/>
      <x:c r="J21" s="87" t="s"/>
      <x:c r="K21" s="87" t="s"/>
      <x:c r="L21" s="97" t="s"/>
      <x:c r="M21" s="81">
        <x:f>IF(COUNTBLANK(H21:K21)=0,1,0)</x:f>
      </x:c>
      <x:c r="N21" s="84">
        <x:f>SUM(M19:M22)</x:f>
      </x:c>
      <x:c r="O21" s="89">
        <x:f>IF(COUNTIF(L19:L22,"&gt;=0"),ROUND(AVERAGEIF(L19:L22,"&gt;=0"),3),0)</x:f>
      </x:c>
    </x:row>
    <x:row r="22" spans="1:87" customFormat="1" ht="16.15" customHeight="1" thickBot="1" x14ac:dyDescent="0.55000000000000004">
      <x:c r="A22" s="117">
        <x:f>IF(O22=0,"",_xlfn.FLOOR.MATH(RANK(N22,$N$11:$N$131)/4+1+SUMPRODUCT(-(-($N$11:$N$131=N22)),-(-(O22&lt;$O$11:$O$131)))/4))</x:f>
      </x:c>
      <x:c r="B22" s="74" t="s">
        <x:v>89</x:v>
      </x:c>
      <x:c r="C22" s="74" t="n">
        <x:v>4</x:v>
      </x:c>
      <x:c r="D22" s="107" t="s"/>
      <x:c r="E22" s="108" t="s"/>
      <x:c r="F22" s="109" t="s"/>
      <x:c r="G22" s="90">
        <x:f>IF($G$9&lt;&gt;"",$G$9,"")</x:f>
      </x:c>
      <x:c r="H22" s="113" t="s"/>
      <x:c r="I22" s="113" t="s"/>
      <x:c r="J22" s="91" t="s"/>
      <x:c r="K22" s="91" t="s"/>
      <x:c r="L22" s="93" t="s"/>
      <x:c r="M22" s="81">
        <x:f>IF(COUNTBLANK(H22:K22)=0,1,0)</x:f>
      </x:c>
      <x:c r="N22" s="94">
        <x:f>SUM(M19:M22)</x:f>
      </x:c>
      <x:c r="O22" s="95">
        <x:f>IF(COUNTIF(L19:L22,"&gt;=0"),ROUND(AVERAGEIF(L19:L22,"&gt;=0"),3),0)</x:f>
      </x:c>
    </x:row>
    <x:row r="23" spans="1:87" customFormat="1" ht="16.15" customHeight="1" thickBot="1" x14ac:dyDescent="0.55000000000000004">
      <x:c r="A23" s="114">
        <x:f>IF(O23=0,"",_xlfn.FLOOR.MATH(RANK(N23,$N$11:$N$131)/4+1+SUMPRODUCT(-(-($N$11:$N$131=N23)),-(-(O23&lt;$O$11:$O$131)))/4))</x:f>
      </x:c>
      <x:c r="B23" s="77" t="s">
        <x:v>89</x:v>
      </x:c>
      <x:c r="C23" s="77" t="n">
        <x:v>1</x:v>
      </x:c>
      <x:c r="D23" s="101" t="s"/>
      <x:c r="E23" s="102" t="s"/>
      <x:c r="F23" s="103" t="s"/>
      <x:c r="G23" s="78">
        <x:f>IF($G$6&lt;&gt;"",$G$6,"")</x:f>
      </x:c>
      <x:c r="H23" s="110" t="s"/>
      <x:c r="I23" s="110" t="s"/>
      <x:c r="J23" s="314" t="s"/>
      <x:c r="K23" s="314" t="s"/>
      <x:c r="L23" s="80">
        <x:f>IF(COUNTBLANK(H23:I23)=0,AVERAGE(H23:I23),-0.000001)</x:f>
      </x:c>
      <x:c r="M23" s="81">
        <x:f>IF(COUNTBLANK(H23:K23)=0,1,0)</x:f>
      </x:c>
      <x:c r="N23" s="81">
        <x:f>SUM(M23:M26)</x:f>
      </x:c>
      <x:c r="O23" s="82">
        <x:f>IF(COUNTIF(L23:L26,"&gt;=0"),ROUND(AVERAGEIF(L23:L26,"&gt;=0"),3),0)</x:f>
      </x:c>
    </x:row>
    <x:row r="24" spans="1:87" customFormat="1" ht="16.15" customHeight="1" thickBot="1" x14ac:dyDescent="0.55000000000000004">
      <x:c r="A24" s="115">
        <x:f>IF(O24=0,"",_xlfn.FLOOR.MATH(RANK(N24,$N$11:$N$131)/4+1+SUMPRODUCT(-(-($N$11:$N$131=N24)),-(-(O24&lt;$O$11:$O$131)))/4))</x:f>
      </x:c>
      <x:c r="B24" s="34" t="s">
        <x:v>89</x:v>
      </x:c>
      <x:c r="C24" s="34" t="n">
        <x:v>2</x:v>
      </x:c>
      <x:c r="D24" s="104" t="s"/>
      <x:c r="E24" s="105" t="s"/>
      <x:c r="F24" s="106" t="s"/>
      <x:c r="G24" s="83">
        <x:f>IF($G$7&lt;&gt;"",$G$7,"")</x:f>
      </x:c>
      <x:c r="H24" s="111" t="s"/>
      <x:c r="I24" s="111" t="s"/>
      <x:c r="J24" s="314" t="s"/>
      <x:c r="K24" s="314" t="s"/>
      <x:c r="L24" s="96">
        <x:f>IF(COUNTBLANK(H24:I24)=0,AVERAGE(H24:I24),-0.000001)</x:f>
      </x:c>
      <x:c r="M24" s="81">
        <x:f>IF(COUNTBLANK(H24:K24)=0,1,0)</x:f>
      </x:c>
      <x:c r="N24" s="84">
        <x:f>SUM(M23:M26)</x:f>
      </x:c>
      <x:c r="O24" s="85">
        <x:f>IF(COUNTIF(L23:L26,"&gt;=0"),ROUND(AVERAGEIF(L23:L26,"&gt;=0"),3),0)</x:f>
      </x:c>
    </x:row>
    <x:row r="25" spans="1:87" customFormat="1" ht="16.15" customHeight="1" thickBot="1" x14ac:dyDescent="0.55000000000000004">
      <x:c r="A25" s="116">
        <x:f>IF(O25=0,"",_xlfn.FLOOR.MATH(RANK(N25,$N$11:$N$131)/4+1+SUMPRODUCT(-(-($N$11:$N$131=N25)),-(-(O25&lt;$O$11:$O$131)))/4))</x:f>
      </x:c>
      <x:c r="B25" s="34" t="s">
        <x:v>89</x:v>
      </x:c>
      <x:c r="C25" s="34" t="n">
        <x:v>3</x:v>
      </x:c>
      <x:c r="E25" s="105" t="s"/>
      <x:c r="G25" s="86">
        <x:f>IF($G$8&lt;&gt;"",$G$8,"")</x:f>
      </x:c>
      <x:c r="H25" s="112" t="s"/>
      <x:c r="I25" s="112" t="s"/>
      <x:c r="J25" s="87" t="s"/>
      <x:c r="K25" s="87" t="s"/>
      <x:c r="L25" s="97" t="s"/>
      <x:c r="M25" s="81">
        <x:f>IF(COUNTBLANK(H25:K25)=0,1,0)</x:f>
      </x:c>
      <x:c r="N25" s="84">
        <x:f>SUM(M23:M26)</x:f>
      </x:c>
      <x:c r="O25" s="89">
        <x:f>IF(COUNTIF(L23:L26,"&gt;=0"),ROUND(AVERAGEIF(L23:L26,"&gt;=0"),3),0)</x:f>
      </x:c>
    </x:row>
    <x:row r="26" spans="1:87" customFormat="1" ht="16.15" customHeight="1" thickBot="1" x14ac:dyDescent="0.55000000000000004">
      <x:c r="A26" s="117">
        <x:f>IF(O26=0,"",_xlfn.FLOOR.MATH(RANK(N26,$N$11:$N$131)/4+1+SUMPRODUCT(-(-($N$11:$N$131=N26)),-(-(O26&lt;$O$11:$O$131)))/4))</x:f>
      </x:c>
      <x:c r="B26" s="74" t="s">
        <x:v>89</x:v>
      </x:c>
      <x:c r="C26" s="74" t="n">
        <x:v>4</x:v>
      </x:c>
      <x:c r="D26" s="107" t="s"/>
      <x:c r="E26" s="108" t="s"/>
      <x:c r="F26" s="109" t="s"/>
      <x:c r="G26" s="90">
        <x:f>IF($G$9&lt;&gt;"",$G$9,"")</x:f>
      </x:c>
      <x:c r="H26" s="113" t="s"/>
      <x:c r="I26" s="113" t="s"/>
      <x:c r="J26" s="91" t="s"/>
      <x:c r="K26" s="91" t="s"/>
      <x:c r="L26" s="93" t="s"/>
      <x:c r="M26" s="81">
        <x:f>IF(COUNTBLANK(H26:K26)=0,1,0)</x:f>
      </x:c>
      <x:c r="N26" s="94">
        <x:f>SUM(M23:M26)</x:f>
      </x:c>
      <x:c r="O26" s="95">
        <x:f>IF(COUNTIF(L23:L26,"&gt;=0"),ROUND(AVERAGEIF(L23:L26,"&gt;=0"),3),0)</x:f>
      </x:c>
    </x:row>
    <x:row r="27" spans="1:87" customFormat="1" ht="16.15" customHeight="1" thickBot="1" x14ac:dyDescent="0.55000000000000004">
      <x:c r="A27" s="114">
        <x:f>IF(O27=0,"",_xlfn.FLOOR.MATH(RANK(N27,$N$11:$N$131)/4+1+SUMPRODUCT(-(-($N$11:$N$131=N27)),-(-(O27&lt;$O$11:$O$131)))/4))</x:f>
      </x:c>
      <x:c r="B27" s="77" t="s">
        <x:v>89</x:v>
      </x:c>
      <x:c r="C27" s="77" t="n">
        <x:v>1</x:v>
      </x:c>
      <x:c r="D27" s="101" t="s"/>
      <x:c r="E27" s="102" t="s"/>
      <x:c r="F27" s="103" t="s"/>
      <x:c r="G27" s="78">
        <x:f>IF($G$6&lt;&gt;"",$G$6,"")</x:f>
      </x:c>
      <x:c r="H27" s="110" t="s"/>
      <x:c r="I27" s="110" t="s"/>
      <x:c r="J27" s="314" t="s"/>
      <x:c r="K27" s="314" t="s"/>
      <x:c r="L27" s="80">
        <x:f>IF(COUNTBLANK(H27:I27)=0,AVERAGE(H27:I27),-0.000001)</x:f>
      </x:c>
      <x:c r="M27" s="81">
        <x:f>IF(COUNTBLANK(H27:K27)=0,1,0)</x:f>
      </x:c>
      <x:c r="N27" s="81">
        <x:f>SUM(M27:M30)</x:f>
      </x:c>
      <x:c r="O27" s="82">
        <x:f>IF(COUNTIF(L27:L30,"&gt;=0"),ROUND(AVERAGEIF(L27:L30,"&gt;=0"),3),0)</x:f>
      </x:c>
    </x:row>
    <x:row r="28" spans="1:87" customFormat="1" ht="16.15" customHeight="1" thickBot="1" x14ac:dyDescent="0.55000000000000004">
      <x:c r="A28" s="115">
        <x:f>IF(O28=0,"",_xlfn.FLOOR.MATH(RANK(N28,$N$11:$N$131)/4+1+SUMPRODUCT(-(-($N$11:$N$131=N28)),-(-(O28&lt;$O$11:$O$131)))/4))</x:f>
      </x:c>
      <x:c r="B28" s="34" t="s">
        <x:v>89</x:v>
      </x:c>
      <x:c r="C28" s="34" t="n">
        <x:v>2</x:v>
      </x:c>
      <x:c r="D28" s="104" t="s"/>
      <x:c r="E28" s="105" t="s"/>
      <x:c r="F28" s="106" t="s"/>
      <x:c r="G28" s="83">
        <x:f>IF($G$7&lt;&gt;"",$G$7,"")</x:f>
      </x:c>
      <x:c r="H28" s="111" t="s"/>
      <x:c r="I28" s="111" t="s"/>
      <x:c r="J28" s="314" t="s"/>
      <x:c r="K28" s="314" t="s"/>
      <x:c r="L28" s="96">
        <x:f>IF(COUNTBLANK(H28:I28)=0,AVERAGE(H28:I28),-0.000001)</x:f>
      </x:c>
      <x:c r="M28" s="81">
        <x:f>IF(COUNTBLANK(H28:K28)=0,1,0)</x:f>
      </x:c>
      <x:c r="N28" s="84">
        <x:f>SUM(M27:M30)</x:f>
      </x:c>
      <x:c r="O28" s="85">
        <x:f>IF(COUNTIF(L27:L30,"&gt;=0"),ROUND(AVERAGEIF(L27:L30,"&gt;=0"),3),0)</x:f>
      </x:c>
    </x:row>
    <x:row r="29" spans="1:87" customFormat="1" ht="16.15" customHeight="1" thickBot="1" x14ac:dyDescent="0.55000000000000004">
      <x:c r="A29" s="116">
        <x:f>IF(O29=0,"",_xlfn.FLOOR.MATH(RANK(N29,$N$11:$N$131)/4+1+SUMPRODUCT(-(-($N$11:$N$131=N29)),-(-(O29&lt;$O$11:$O$131)))/4))</x:f>
      </x:c>
      <x:c r="B29" s="34" t="s">
        <x:v>89</x:v>
      </x:c>
      <x:c r="C29" s="34" t="n">
        <x:v>3</x:v>
      </x:c>
      <x:c r="E29" s="105" t="s"/>
      <x:c r="G29" s="86">
        <x:f>IF($G$8&lt;&gt;"",$G$8,"")</x:f>
      </x:c>
      <x:c r="H29" s="112" t="s"/>
      <x:c r="I29" s="112" t="s"/>
      <x:c r="J29" s="87" t="s"/>
      <x:c r="K29" s="87" t="s"/>
      <x:c r="L29" s="97" t="s"/>
      <x:c r="M29" s="81">
        <x:f>IF(COUNTBLANK(H29:K29)=0,1,0)</x:f>
      </x:c>
      <x:c r="N29" s="84">
        <x:f>SUM(M27:M30)</x:f>
      </x:c>
      <x:c r="O29" s="89">
        <x:f>IF(COUNTIF(L27:L30,"&gt;=0"),ROUND(AVERAGEIF(L27:L30,"&gt;=0"),3),0)</x:f>
      </x:c>
    </x:row>
    <x:row r="30" spans="1:87" customFormat="1" ht="16.15" customHeight="1" thickBot="1" x14ac:dyDescent="0.55000000000000004">
      <x:c r="A30" s="117">
        <x:f>IF(O30=0,"",_xlfn.FLOOR.MATH(RANK(N30,$N$11:$N$131)/4+1+SUMPRODUCT(-(-($N$11:$N$131=N30)),-(-(O30&lt;$O$11:$O$131)))/4))</x:f>
      </x:c>
      <x:c r="B30" s="74" t="s">
        <x:v>89</x:v>
      </x:c>
      <x:c r="C30" s="74" t="n">
        <x:v>4</x:v>
      </x:c>
      <x:c r="D30" s="107" t="s"/>
      <x:c r="E30" s="108" t="s"/>
      <x:c r="F30" s="109" t="s"/>
      <x:c r="G30" s="90">
        <x:f>IF($G$9&lt;&gt;"",$G$9,"")</x:f>
      </x:c>
      <x:c r="H30" s="113" t="s"/>
      <x:c r="I30" s="113" t="s"/>
      <x:c r="J30" s="91" t="s"/>
      <x:c r="K30" s="91" t="s"/>
      <x:c r="L30" s="93" t="s"/>
      <x:c r="M30" s="81">
        <x:f>IF(COUNTBLANK(H30:K30)=0,1,0)</x:f>
      </x:c>
      <x:c r="N30" s="94">
        <x:f>SUM(M27:M30)</x:f>
      </x:c>
      <x:c r="O30" s="95">
        <x:f>IF(COUNTIF(L27:L30,"&gt;=0"),ROUND(AVERAGEIF(L27:L30,"&gt;=0"),3),0)</x:f>
      </x:c>
    </x:row>
    <x:row r="31" spans="1:87" customFormat="1" ht="16.15" customHeight="1" thickBot="1" x14ac:dyDescent="0.55000000000000004">
      <x:c r="A31" s="114">
        <x:f>IF(O31=0,"",_xlfn.FLOOR.MATH(RANK(N31,$N$11:$N$131)/4+1+SUMPRODUCT(-(-($N$11:$N$131=N31)),-(-(O31&lt;$O$11:$O$131)))/4))</x:f>
      </x:c>
      <x:c r="B31" s="77" t="s">
        <x:v>89</x:v>
      </x:c>
      <x:c r="C31" s="77" t="n">
        <x:v>1</x:v>
      </x:c>
      <x:c r="D31" s="101" t="s"/>
      <x:c r="E31" s="102" t="s"/>
      <x:c r="F31" s="103" t="s"/>
      <x:c r="G31" s="78">
        <x:f>IF($G$6&lt;&gt;"",$G$6,"")</x:f>
      </x:c>
      <x:c r="H31" s="110" t="s"/>
      <x:c r="I31" s="110" t="s"/>
      <x:c r="J31" s="314" t="s"/>
      <x:c r="K31" s="314" t="s"/>
      <x:c r="L31" s="80">
        <x:f>IF(COUNTBLANK(H31:I31)=0,AVERAGE(H31:I31),-0.000001)</x:f>
      </x:c>
      <x:c r="M31" s="81">
        <x:f>IF(COUNTBLANK(H31:K31)=0,1,0)</x:f>
      </x:c>
      <x:c r="N31" s="81">
        <x:f>SUM(M31:M34)</x:f>
      </x:c>
      <x:c r="O31" s="82">
        <x:f>IF(COUNTIF(L31:L34,"&gt;=0"),ROUND(AVERAGEIF(L31:L34,"&gt;=0"),3),0)</x:f>
      </x:c>
    </x:row>
    <x:row r="32" spans="1:87" customFormat="1" ht="16.15" customHeight="1" thickBot="1" x14ac:dyDescent="0.55000000000000004">
      <x:c r="A32" s="115">
        <x:f>IF(O32=0,"",_xlfn.FLOOR.MATH(RANK(N32,$N$11:$N$131)/4+1+SUMPRODUCT(-(-($N$11:$N$131=N32)),-(-(O32&lt;$O$11:$O$131)))/4))</x:f>
      </x:c>
      <x:c r="B32" s="34" t="s">
        <x:v>89</x:v>
      </x:c>
      <x:c r="C32" s="34" t="n">
        <x:v>2</x:v>
      </x:c>
      <x:c r="D32" s="104" t="s"/>
      <x:c r="E32" s="105" t="s"/>
      <x:c r="F32" s="106" t="s"/>
      <x:c r="G32" s="83">
        <x:f>IF($G$7&lt;&gt;"",$G$7,"")</x:f>
      </x:c>
      <x:c r="H32" s="111" t="s"/>
      <x:c r="I32" s="111" t="s"/>
      <x:c r="J32" s="314" t="s"/>
      <x:c r="K32" s="314" t="s"/>
      <x:c r="L32" s="96">
        <x:f>IF(COUNTBLANK(H32:I32)=0,AVERAGE(H32:I32),-0.000001)</x:f>
      </x:c>
      <x:c r="M32" s="81">
        <x:f>IF(COUNTBLANK(H32:K32)=0,1,0)</x:f>
      </x:c>
      <x:c r="N32" s="84">
        <x:f>SUM(M31:M34)</x:f>
      </x:c>
      <x:c r="O32" s="85">
        <x:f>IF(COUNTIF(L31:L34,"&gt;=0"),ROUND(AVERAGEIF(L31:L34,"&gt;=0"),3),0)</x:f>
      </x:c>
    </x:row>
    <x:row r="33" spans="1:87" customFormat="1" ht="16.15" customHeight="1" thickBot="1" x14ac:dyDescent="0.55000000000000004">
      <x:c r="A33" s="116">
        <x:f>IF(O33=0,"",_xlfn.FLOOR.MATH(RANK(N33,$N$11:$N$131)/4+1+SUMPRODUCT(-(-($N$11:$N$131=N33)),-(-(O33&lt;$O$11:$O$131)))/4))</x:f>
      </x:c>
      <x:c r="B33" s="34" t="s">
        <x:v>89</x:v>
      </x:c>
      <x:c r="C33" s="34" t="n">
        <x:v>3</x:v>
      </x:c>
      <x:c r="E33" s="105" t="s"/>
      <x:c r="G33" s="86">
        <x:f>IF($G$8&lt;&gt;"",$G$8,"")</x:f>
      </x:c>
      <x:c r="H33" s="112" t="s"/>
      <x:c r="I33" s="112" t="s"/>
      <x:c r="J33" s="87" t="s"/>
      <x:c r="K33" s="87" t="s"/>
      <x:c r="L33" s="97" t="s"/>
      <x:c r="M33" s="81">
        <x:f>IF(COUNTBLANK(H33:K33)=0,1,0)</x:f>
      </x:c>
      <x:c r="N33" s="84">
        <x:f>SUM(M31:M34)</x:f>
      </x:c>
      <x:c r="O33" s="89">
        <x:f>IF(COUNTIF(L31:L34,"&gt;=0"),ROUND(AVERAGEIF(L31:L34,"&gt;=0"),3),0)</x:f>
      </x:c>
    </x:row>
    <x:row r="34" spans="1:87" customFormat="1" ht="16.15" customHeight="1" thickBot="1" x14ac:dyDescent="0.55000000000000004">
      <x:c r="A34" s="117">
        <x:f>IF(O34=0,"",_xlfn.FLOOR.MATH(RANK(N34,$N$11:$N$131)/4+1+SUMPRODUCT(-(-($N$11:$N$131=N34)),-(-(O34&lt;$O$11:$O$131)))/4))</x:f>
      </x:c>
      <x:c r="B34" s="74" t="s">
        <x:v>89</x:v>
      </x:c>
      <x:c r="C34" s="74" t="n">
        <x:v>4</x:v>
      </x:c>
      <x:c r="D34" s="107" t="s"/>
      <x:c r="E34" s="108" t="s"/>
      <x:c r="F34" s="109" t="s"/>
      <x:c r="G34" s="90">
        <x:f>IF($G$9&lt;&gt;"",$G$9,"")</x:f>
      </x:c>
      <x:c r="H34" s="113" t="s"/>
      <x:c r="I34" s="113" t="s"/>
      <x:c r="J34" s="91" t="s"/>
      <x:c r="K34" s="91" t="s"/>
      <x:c r="L34" s="93" t="s"/>
      <x:c r="M34" s="81">
        <x:f>IF(COUNTBLANK(H34:K34)=0,1,0)</x:f>
      </x:c>
      <x:c r="N34" s="94">
        <x:f>SUM(M31:M34)</x:f>
      </x:c>
      <x:c r="O34" s="95">
        <x:f>IF(COUNTIF(L31:L34,"&gt;=0"),ROUND(AVERAGEIF(L31:L34,"&gt;=0"),3),0)</x:f>
      </x:c>
    </x:row>
    <x:row r="35" spans="1:87" customFormat="1" ht="16.15" customHeight="1" thickBot="1" x14ac:dyDescent="0.55000000000000004">
      <x:c r="A35" s="114">
        <x:f>IF(O35=0,"",_xlfn.FLOOR.MATH(RANK(N35,$N$11:$N$131)/4+1+SUMPRODUCT(-(-($N$11:$N$131=N35)),-(-(O35&lt;$O$11:$O$131)))/4))</x:f>
      </x:c>
      <x:c r="B35" s="77" t="s">
        <x:v>89</x:v>
      </x:c>
      <x:c r="C35" s="77" t="n">
        <x:v>1</x:v>
      </x:c>
      <x:c r="D35" s="101" t="s"/>
      <x:c r="E35" s="102" t="s"/>
      <x:c r="F35" s="103" t="s"/>
      <x:c r="G35" s="78">
        <x:f>IF($G$6&lt;&gt;"",$G$6,"")</x:f>
      </x:c>
      <x:c r="H35" s="110" t="s"/>
      <x:c r="I35" s="110" t="s"/>
      <x:c r="J35" s="314" t="s"/>
      <x:c r="K35" s="314" t="s"/>
      <x:c r="L35" s="80">
        <x:f>IF(COUNTBLANK(H35:I35)=0,AVERAGE(H35:I35),-0.000001)</x:f>
      </x:c>
      <x:c r="M35" s="81">
        <x:f>IF(COUNTBLANK(H35:K35)=0,1,0)</x:f>
      </x:c>
      <x:c r="N35" s="81">
        <x:f>SUM(M35:M38)</x:f>
      </x:c>
      <x:c r="O35" s="82">
        <x:f>IF(COUNTIF(L35:L38,"&gt;=0"),ROUND(AVERAGEIF(L35:L38,"&gt;=0"),3),0)</x:f>
      </x:c>
    </x:row>
    <x:row r="36" spans="1:87" customFormat="1" ht="16.15" customHeight="1" thickBot="1" x14ac:dyDescent="0.55000000000000004">
      <x:c r="A36" s="115">
        <x:f>IF(O36=0,"",_xlfn.FLOOR.MATH(RANK(N36,$N$11:$N$131)/4+1+SUMPRODUCT(-(-($N$11:$N$131=N36)),-(-(O36&lt;$O$11:$O$131)))/4))</x:f>
      </x:c>
      <x:c r="B36" s="34" t="s">
        <x:v>89</x:v>
      </x:c>
      <x:c r="C36" s="34" t="n">
        <x:v>2</x:v>
      </x:c>
      <x:c r="D36" s="104" t="s"/>
      <x:c r="E36" s="105" t="s"/>
      <x:c r="F36" s="106" t="s"/>
      <x:c r="G36" s="83">
        <x:f>IF($G$7&lt;&gt;"",$G$7,"")</x:f>
      </x:c>
      <x:c r="H36" s="111" t="s"/>
      <x:c r="I36" s="111" t="s"/>
      <x:c r="J36" s="314" t="s"/>
      <x:c r="K36" s="314" t="s"/>
      <x:c r="L36" s="96">
        <x:f>IF(COUNTBLANK(H36:I36)=0,AVERAGE(H36:I36),-0.000001)</x:f>
      </x:c>
      <x:c r="M36" s="81">
        <x:f>IF(COUNTBLANK(H36:K36)=0,1,0)</x:f>
      </x:c>
      <x:c r="N36" s="84">
        <x:f>SUM(M35:M38)</x:f>
      </x:c>
      <x:c r="O36" s="85">
        <x:f>IF(COUNTIF(L35:L38,"&gt;=0"),ROUND(AVERAGEIF(L35:L38,"&gt;=0"),3),0)</x:f>
      </x:c>
    </x:row>
    <x:row r="37" spans="1:87" customFormat="1" ht="16.15" customHeight="1" thickBot="1" x14ac:dyDescent="0.55000000000000004">
      <x:c r="A37" s="116">
        <x:f>IF(O37=0,"",_xlfn.FLOOR.MATH(RANK(N37,$N$11:$N$131)/4+1+SUMPRODUCT(-(-($N$11:$N$131=N37)),-(-(O37&lt;$O$11:$O$131)))/4))</x:f>
      </x:c>
      <x:c r="B37" s="34" t="s">
        <x:v>89</x:v>
      </x:c>
      <x:c r="C37" s="34" t="n">
        <x:v>3</x:v>
      </x:c>
      <x:c r="E37" s="105" t="s"/>
      <x:c r="G37" s="86">
        <x:f>IF($G$8&lt;&gt;"",$G$8,"")</x:f>
      </x:c>
      <x:c r="H37" s="112" t="s"/>
      <x:c r="I37" s="112" t="s"/>
      <x:c r="J37" s="87" t="s"/>
      <x:c r="K37" s="87" t="s"/>
      <x:c r="L37" s="97" t="s"/>
      <x:c r="M37" s="81">
        <x:f>IF(COUNTBLANK(H37:K37)=0,1,0)</x:f>
      </x:c>
      <x:c r="N37" s="84">
        <x:f>SUM(M35:M38)</x:f>
      </x:c>
      <x:c r="O37" s="89">
        <x:f>IF(COUNTIF(L35:L38,"&gt;=0"),ROUND(AVERAGEIF(L35:L38,"&gt;=0"),3),0)</x:f>
      </x:c>
    </x:row>
    <x:row r="38" spans="1:87" customFormat="1" ht="16.15" customHeight="1" thickBot="1" x14ac:dyDescent="0.55000000000000004">
      <x:c r="A38" s="117">
        <x:f>IF(O38=0,"",_xlfn.FLOOR.MATH(RANK(N38,$N$11:$N$131)/4+1+SUMPRODUCT(-(-($N$11:$N$131=N38)),-(-(O38&lt;$O$11:$O$131)))/4))</x:f>
      </x:c>
      <x:c r="B38" s="74" t="s">
        <x:v>89</x:v>
      </x:c>
      <x:c r="C38" s="74" t="n">
        <x:v>4</x:v>
      </x:c>
      <x:c r="D38" s="107" t="s"/>
      <x:c r="E38" s="108" t="s"/>
      <x:c r="F38" s="109" t="s"/>
      <x:c r="G38" s="90">
        <x:f>IF($G$9&lt;&gt;"",$G$9,"")</x:f>
      </x:c>
      <x:c r="H38" s="113" t="s"/>
      <x:c r="I38" s="113" t="s"/>
      <x:c r="J38" s="91" t="s"/>
      <x:c r="K38" s="91" t="s"/>
      <x:c r="L38" s="93" t="s"/>
      <x:c r="M38" s="81">
        <x:f>IF(COUNTBLANK(H38:K38)=0,1,0)</x:f>
      </x:c>
      <x:c r="N38" s="94">
        <x:f>SUM(M35:M38)</x:f>
      </x:c>
      <x:c r="O38" s="95">
        <x:f>IF(COUNTIF(L35:L38,"&gt;=0"),ROUND(AVERAGEIF(L35:L38,"&gt;=0"),3),0)</x:f>
      </x:c>
    </x:row>
    <x:row r="39" spans="1:87" customFormat="1" ht="16.15" customHeight="1" thickBot="1" x14ac:dyDescent="0.55000000000000004">
      <x:c r="A39" s="114">
        <x:f>IF(O39=0,"",_xlfn.FLOOR.MATH(RANK(N39,$N$11:$N$131)/4+1+SUMPRODUCT(-(-($N$11:$N$131=N39)),-(-(O39&lt;$O$11:$O$131)))/4))</x:f>
      </x:c>
      <x:c r="B39" s="77" t="s">
        <x:v>89</x:v>
      </x:c>
      <x:c r="C39" s="77" t="n">
        <x:v>1</x:v>
      </x:c>
      <x:c r="D39" s="101" t="s"/>
      <x:c r="E39" s="102" t="s"/>
      <x:c r="F39" s="103" t="s"/>
      <x:c r="G39" s="78">
        <x:f>IF($G$6&lt;&gt;"",$G$6,"")</x:f>
      </x:c>
      <x:c r="H39" s="110" t="s"/>
      <x:c r="I39" s="110" t="s"/>
      <x:c r="J39" s="314" t="s"/>
      <x:c r="K39" s="314" t="s"/>
      <x:c r="L39" s="80">
        <x:f>IF(COUNTBLANK(H39:I39)=0,AVERAGE(H39:I39),-0.000001)</x:f>
      </x:c>
      <x:c r="M39" s="81">
        <x:f>IF(COUNTBLANK(H39:K39)=0,1,0)</x:f>
      </x:c>
      <x:c r="N39" s="81">
        <x:f>SUM(M39:M42)</x:f>
      </x:c>
      <x:c r="O39" s="82">
        <x:f>IF(COUNTIF(L39:L42,"&gt;=0"),ROUND(AVERAGEIF(L39:L42,"&gt;=0"),3),0)</x:f>
      </x:c>
    </x:row>
    <x:row r="40" spans="1:87" customFormat="1" ht="16.15" customHeight="1" thickBot="1" x14ac:dyDescent="0.55000000000000004">
      <x:c r="A40" s="115">
        <x:f>IF(O40=0,"",_xlfn.FLOOR.MATH(RANK(N40,$N$11:$N$131)/4+1+SUMPRODUCT(-(-($N$11:$N$131=N40)),-(-(O40&lt;$O$11:$O$131)))/4))</x:f>
      </x:c>
      <x:c r="B40" s="34" t="s">
        <x:v>89</x:v>
      </x:c>
      <x:c r="C40" s="34" t="n">
        <x:v>2</x:v>
      </x:c>
      <x:c r="D40" s="104" t="s"/>
      <x:c r="E40" s="105" t="s"/>
      <x:c r="F40" s="106" t="s"/>
      <x:c r="G40" s="83">
        <x:f>IF($G$7&lt;&gt;"",$G$7,"")</x:f>
      </x:c>
      <x:c r="H40" s="111" t="s"/>
      <x:c r="I40" s="111" t="s"/>
      <x:c r="J40" s="314" t="s"/>
      <x:c r="K40" s="314" t="s"/>
      <x:c r="L40" s="96">
        <x:f>IF(COUNTBLANK(H40:I40)=0,AVERAGE(H40:I40),-0.000001)</x:f>
      </x:c>
      <x:c r="M40" s="81">
        <x:f>IF(COUNTBLANK(H40:K40)=0,1,0)</x:f>
      </x:c>
      <x:c r="N40" s="84">
        <x:f>SUM(M39:M42)</x:f>
      </x:c>
      <x:c r="O40" s="85">
        <x:f>IF(COUNTIF(L39:L42,"&gt;=0"),ROUND(AVERAGEIF(L39:L42,"&gt;=0"),3),0)</x:f>
      </x:c>
    </x:row>
    <x:row r="41" spans="1:87" customFormat="1" ht="16.15" customHeight="1" thickBot="1" x14ac:dyDescent="0.55000000000000004">
      <x:c r="A41" s="116">
        <x:f>IF(O41=0,"",_xlfn.FLOOR.MATH(RANK(N41,$N$11:$N$131)/4+1+SUMPRODUCT(-(-($N$11:$N$131=N41)),-(-(O41&lt;$O$11:$O$131)))/4))</x:f>
      </x:c>
      <x:c r="B41" s="34" t="s">
        <x:v>89</x:v>
      </x:c>
      <x:c r="C41" s="34" t="n">
        <x:v>3</x:v>
      </x:c>
      <x:c r="E41" s="105" t="s"/>
      <x:c r="G41" s="86">
        <x:f>IF($G$8&lt;&gt;"",$G$8,"")</x:f>
      </x:c>
      <x:c r="H41" s="112" t="s"/>
      <x:c r="I41" s="112" t="s"/>
      <x:c r="J41" s="87" t="s"/>
      <x:c r="K41" s="87" t="s"/>
      <x:c r="L41" s="97" t="s"/>
      <x:c r="M41" s="81">
        <x:f>IF(COUNTBLANK(H41:K41)=0,1,0)</x:f>
      </x:c>
      <x:c r="N41" s="84">
        <x:f>SUM(M39:M42)</x:f>
      </x:c>
      <x:c r="O41" s="89">
        <x:f>IF(COUNTIF(L39:L42,"&gt;=0"),ROUND(AVERAGEIF(L39:L42,"&gt;=0"),3),0)</x:f>
      </x:c>
    </x:row>
    <x:row r="42" spans="1:87" customFormat="1" ht="16.15" customHeight="1" thickBot="1" x14ac:dyDescent="0.55000000000000004">
      <x:c r="A42" s="117">
        <x:f>IF(O42=0,"",_xlfn.FLOOR.MATH(RANK(N42,$N$11:$N$131)/4+1+SUMPRODUCT(-(-($N$11:$N$131=N42)),-(-(O42&lt;$O$11:$O$131)))/4))</x:f>
      </x:c>
      <x:c r="B42" s="74" t="s">
        <x:v>89</x:v>
      </x:c>
      <x:c r="C42" s="74" t="n">
        <x:v>4</x:v>
      </x:c>
      <x:c r="D42" s="107" t="s"/>
      <x:c r="E42" s="108" t="s"/>
      <x:c r="F42" s="109" t="s"/>
      <x:c r="G42" s="90">
        <x:f>IF($G$9&lt;&gt;"",$G$9,"")</x:f>
      </x:c>
      <x:c r="H42" s="113" t="s"/>
      <x:c r="I42" s="113" t="s"/>
      <x:c r="J42" s="91" t="s"/>
      <x:c r="K42" s="91" t="s"/>
      <x:c r="L42" s="93" t="s"/>
      <x:c r="M42" s="81">
        <x:f>IF(COUNTBLANK(H42:K42)=0,1,0)</x:f>
      </x:c>
      <x:c r="N42" s="94">
        <x:f>SUM(M39:M42)</x:f>
      </x:c>
      <x:c r="O42" s="95">
        <x:f>IF(COUNTIF(L39:L42,"&gt;=0"),ROUND(AVERAGEIF(L39:L42,"&gt;=0"),3),0)</x:f>
      </x:c>
    </x:row>
    <x:row r="43" spans="1:87" customFormat="1" ht="16.15" customHeight="1" thickBot="1" x14ac:dyDescent="0.55000000000000004">
      <x:c r="A43" s="114">
        <x:f>IF(O43=0,"",_xlfn.FLOOR.MATH(RANK(N43,$N$11:$N$131)/4+1+SUMPRODUCT(-(-($N$11:$N$131=N43)),-(-(O43&lt;$O$11:$O$131)))/4))</x:f>
      </x:c>
      <x:c r="B43" s="77" t="s">
        <x:v>89</x:v>
      </x:c>
      <x:c r="C43" s="77" t="n">
        <x:v>1</x:v>
      </x:c>
      <x:c r="D43" s="101" t="s"/>
      <x:c r="E43" s="102" t="s"/>
      <x:c r="F43" s="103" t="s"/>
      <x:c r="G43" s="78">
        <x:f>IF($G$6&lt;&gt;"",$G$6,"")</x:f>
      </x:c>
      <x:c r="H43" s="110" t="s"/>
      <x:c r="I43" s="110" t="s"/>
      <x:c r="J43" s="314" t="s"/>
      <x:c r="K43" s="314" t="s"/>
      <x:c r="L43" s="80">
        <x:f>IF(COUNTBLANK(H43:I43)=0,AVERAGE(H43:I43),-0.000001)</x:f>
      </x:c>
      <x:c r="M43" s="81">
        <x:f>IF(COUNTBLANK(H43:K43)=0,1,0)</x:f>
      </x:c>
      <x:c r="N43" s="81">
        <x:f>SUM(M43:M46)</x:f>
      </x:c>
      <x:c r="O43" s="82">
        <x:f>IF(COUNTIF(L43:L46,"&gt;=0"),ROUND(AVERAGEIF(L43:L46,"&gt;=0"),3),0)</x:f>
      </x:c>
    </x:row>
    <x:row r="44" spans="1:87" customFormat="1" ht="16.15" customHeight="1" thickBot="1" x14ac:dyDescent="0.55000000000000004">
      <x:c r="A44" s="115">
        <x:f>IF(O44=0,"",_xlfn.FLOOR.MATH(RANK(N44,$N$11:$N$131)/4+1+SUMPRODUCT(-(-($N$11:$N$131=N44)),-(-(O44&lt;$O$11:$O$131)))/4))</x:f>
      </x:c>
      <x:c r="B44" s="34" t="s">
        <x:v>89</x:v>
      </x:c>
      <x:c r="C44" s="34" t="n">
        <x:v>2</x:v>
      </x:c>
      <x:c r="D44" s="104" t="s"/>
      <x:c r="E44" s="105" t="s"/>
      <x:c r="F44" s="106" t="s"/>
      <x:c r="G44" s="83">
        <x:f>IF($G$7&lt;&gt;"",$G$7,"")</x:f>
      </x:c>
      <x:c r="H44" s="111" t="s"/>
      <x:c r="I44" s="111" t="s"/>
      <x:c r="J44" s="314" t="s"/>
      <x:c r="K44" s="314" t="s"/>
      <x:c r="L44" s="96">
        <x:f>IF(COUNTBLANK(H44:I44)=0,AVERAGE(H44:I44),-0.000001)</x:f>
      </x:c>
      <x:c r="M44" s="81">
        <x:f>IF(COUNTBLANK(H44:K44)=0,1,0)</x:f>
      </x:c>
      <x:c r="N44" s="84">
        <x:f>SUM(M43:M46)</x:f>
      </x:c>
      <x:c r="O44" s="85">
        <x:f>IF(COUNTIF(L43:L46,"&gt;=0"),ROUND(AVERAGEIF(L43:L46,"&gt;=0"),3),0)</x:f>
      </x:c>
    </x:row>
    <x:row r="45" spans="1:87" customFormat="1" ht="16.15" customHeight="1" thickBot="1" x14ac:dyDescent="0.55000000000000004">
      <x:c r="A45" s="116">
        <x:f>IF(O45=0,"",_xlfn.FLOOR.MATH(RANK(N45,$N$11:$N$131)/4+1+SUMPRODUCT(-(-($N$11:$N$131=N45)),-(-(O45&lt;$O$11:$O$131)))/4))</x:f>
      </x:c>
      <x:c r="B45" s="34" t="s">
        <x:v>89</x:v>
      </x:c>
      <x:c r="C45" s="34" t="n">
        <x:v>3</x:v>
      </x:c>
      <x:c r="E45" s="105" t="s"/>
      <x:c r="G45" s="86">
        <x:f>IF($G$8&lt;&gt;"",$G$8,"")</x:f>
      </x:c>
      <x:c r="H45" s="112" t="s"/>
      <x:c r="I45" s="112" t="s"/>
      <x:c r="J45" s="87" t="s"/>
      <x:c r="K45" s="87" t="s"/>
      <x:c r="L45" s="97" t="s"/>
      <x:c r="M45" s="81">
        <x:f>IF(COUNTBLANK(H45:K45)=0,1,0)</x:f>
      </x:c>
      <x:c r="N45" s="84">
        <x:f>SUM(M43:M46)</x:f>
      </x:c>
      <x:c r="O45" s="89">
        <x:f>IF(COUNTIF(L43:L46,"&gt;=0"),ROUND(AVERAGEIF(L43:L46,"&gt;=0"),3),0)</x:f>
      </x:c>
    </x:row>
    <x:row r="46" spans="1:87" customFormat="1" ht="16.15" customHeight="1" thickBot="1" x14ac:dyDescent="0.55000000000000004">
      <x:c r="A46" s="117">
        <x:f>IF(O46=0,"",_xlfn.FLOOR.MATH(RANK(N46,$N$11:$N$131)/4+1+SUMPRODUCT(-(-($N$11:$N$131=N46)),-(-(O46&lt;$O$11:$O$131)))/4))</x:f>
      </x:c>
      <x:c r="B46" s="74" t="s">
        <x:v>89</x:v>
      </x:c>
      <x:c r="C46" s="74" t="n">
        <x:v>4</x:v>
      </x:c>
      <x:c r="D46" s="107" t="s"/>
      <x:c r="E46" s="108" t="s"/>
      <x:c r="F46" s="109" t="s"/>
      <x:c r="G46" s="90">
        <x:f>IF($G$9&lt;&gt;"",$G$9,"")</x:f>
      </x:c>
      <x:c r="H46" s="113" t="s"/>
      <x:c r="I46" s="113" t="s"/>
      <x:c r="J46" s="91" t="s"/>
      <x:c r="K46" s="91" t="s"/>
      <x:c r="L46" s="93" t="s"/>
      <x:c r="M46" s="81">
        <x:f>IF(COUNTBLANK(H46:K46)=0,1,0)</x:f>
      </x:c>
      <x:c r="N46" s="94">
        <x:f>SUM(M43:M46)</x:f>
      </x:c>
      <x:c r="O46" s="95">
        <x:f>IF(COUNTIF(L43:L46,"&gt;=0"),ROUND(AVERAGEIF(L43:L46,"&gt;=0"),3),0)</x:f>
      </x:c>
    </x:row>
    <x:row r="47" spans="1:87" customFormat="1" ht="16.15" customHeight="1" thickBot="1" x14ac:dyDescent="0.55000000000000004">
      <x:c r="A47" s="114">
        <x:f>IF(O47=0,"",_xlfn.FLOOR.MATH(RANK(N47,$N$11:$N$131)/4+1+SUMPRODUCT(-(-($N$11:$N$131=N47)),-(-(O47&lt;$O$11:$O$131)))/4))</x:f>
      </x:c>
      <x:c r="B47" s="77" t="s">
        <x:v>89</x:v>
      </x:c>
      <x:c r="C47" s="77" t="n">
        <x:v>1</x:v>
      </x:c>
      <x:c r="D47" s="101" t="s"/>
      <x:c r="E47" s="102" t="s"/>
      <x:c r="F47" s="103" t="s"/>
      <x:c r="G47" s="78">
        <x:f>IF($G$6&lt;&gt;"",$G$6,"")</x:f>
      </x:c>
      <x:c r="H47" s="110" t="s"/>
      <x:c r="I47" s="110" t="s"/>
      <x:c r="J47" s="314" t="s"/>
      <x:c r="K47" s="314" t="s"/>
      <x:c r="L47" s="80">
        <x:f>IF(COUNTBLANK(H47:I47)=0,AVERAGE(H47:I47),-0.000001)</x:f>
      </x:c>
      <x:c r="M47" s="81">
        <x:f>IF(COUNTBLANK(H47:K47)=0,1,0)</x:f>
      </x:c>
      <x:c r="N47" s="81">
        <x:f>SUM(M47:M50)</x:f>
      </x:c>
      <x:c r="O47" s="82">
        <x:f>IF(COUNTIF(L47:L50,"&gt;=0"),ROUND(AVERAGEIF(L47:L50,"&gt;=0"),3),0)</x:f>
      </x:c>
    </x:row>
    <x:row r="48" spans="1:87" customFormat="1" ht="16.15" customHeight="1" thickBot="1" x14ac:dyDescent="0.55000000000000004">
      <x:c r="A48" s="115">
        <x:f>IF(O48=0,"",_xlfn.FLOOR.MATH(RANK(N48,$N$11:$N$131)/4+1+SUMPRODUCT(-(-($N$11:$N$131=N48)),-(-(O48&lt;$O$11:$O$131)))/4))</x:f>
      </x:c>
      <x:c r="B48" s="34" t="s">
        <x:v>89</x:v>
      </x:c>
      <x:c r="C48" s="34" t="n">
        <x:v>2</x:v>
      </x:c>
      <x:c r="D48" s="104" t="s"/>
      <x:c r="E48" s="105" t="s"/>
      <x:c r="F48" s="106" t="s"/>
      <x:c r="G48" s="83">
        <x:f>IF($G$7&lt;&gt;"",$G$7,"")</x:f>
      </x:c>
      <x:c r="H48" s="111" t="s"/>
      <x:c r="I48" s="111" t="s"/>
      <x:c r="J48" s="314" t="s"/>
      <x:c r="K48" s="314" t="s"/>
      <x:c r="L48" s="96">
        <x:f>IF(COUNTBLANK(H48:I48)=0,AVERAGE(H48:I48),-0.000001)</x:f>
      </x:c>
      <x:c r="M48" s="81">
        <x:f>IF(COUNTBLANK(H48:K48)=0,1,0)</x:f>
      </x:c>
      <x:c r="N48" s="84">
        <x:f>SUM(M47:M50)</x:f>
      </x:c>
      <x:c r="O48" s="85">
        <x:f>IF(COUNTIF(L47:L50,"&gt;=0"),ROUND(AVERAGEIF(L47:L50,"&gt;=0"),3),0)</x:f>
      </x:c>
    </x:row>
    <x:row r="49" spans="1:87" customFormat="1" ht="16.15" customHeight="1" thickBot="1" x14ac:dyDescent="0.55000000000000004">
      <x:c r="A49" s="116">
        <x:f>IF(O49=0,"",_xlfn.FLOOR.MATH(RANK(N49,$N$11:$N$131)/4+1+SUMPRODUCT(-(-($N$11:$N$131=N49)),-(-(O49&lt;$O$11:$O$131)))/4))</x:f>
      </x:c>
      <x:c r="B49" s="34" t="s">
        <x:v>89</x:v>
      </x:c>
      <x:c r="C49" s="34" t="n">
        <x:v>3</x:v>
      </x:c>
      <x:c r="E49" s="105" t="s"/>
      <x:c r="G49" s="86">
        <x:f>IF($G$8&lt;&gt;"",$G$8,"")</x:f>
      </x:c>
      <x:c r="H49" s="112" t="s"/>
      <x:c r="I49" s="112" t="s"/>
      <x:c r="J49" s="87" t="s"/>
      <x:c r="K49" s="87" t="s"/>
      <x:c r="L49" s="97" t="s"/>
      <x:c r="M49" s="81">
        <x:f>IF(COUNTBLANK(H49:K49)=0,1,0)</x:f>
      </x:c>
      <x:c r="N49" s="84">
        <x:f>SUM(M47:M50)</x:f>
      </x:c>
      <x:c r="O49" s="89">
        <x:f>IF(COUNTIF(L47:L50,"&gt;=0"),ROUND(AVERAGEIF(L47:L50,"&gt;=0"),3),0)</x:f>
      </x:c>
    </x:row>
    <x:row r="50" spans="1:87" customFormat="1" ht="16.15" customHeight="1" thickBot="1" x14ac:dyDescent="0.55000000000000004">
      <x:c r="A50" s="117">
        <x:f>IF(O50=0,"",_xlfn.FLOOR.MATH(RANK(N50,$N$11:$N$131)/4+1+SUMPRODUCT(-(-($N$11:$N$131=N50)),-(-(O50&lt;$O$11:$O$131)))/4))</x:f>
      </x:c>
      <x:c r="B50" s="74" t="s">
        <x:v>89</x:v>
      </x:c>
      <x:c r="C50" s="74" t="n">
        <x:v>4</x:v>
      </x:c>
      <x:c r="D50" s="107" t="s"/>
      <x:c r="E50" s="108" t="s"/>
      <x:c r="F50" s="109" t="s"/>
      <x:c r="G50" s="90">
        <x:f>IF($G$9&lt;&gt;"",$G$9,"")</x:f>
      </x:c>
      <x:c r="H50" s="113" t="s"/>
      <x:c r="I50" s="113" t="s"/>
      <x:c r="J50" s="91" t="s"/>
      <x:c r="K50" s="91" t="s"/>
      <x:c r="L50" s="93" t="s"/>
      <x:c r="M50" s="81">
        <x:f>IF(COUNTBLANK(H50:K50)=0,1,0)</x:f>
      </x:c>
      <x:c r="N50" s="94">
        <x:f>SUM(M47:M50)</x:f>
      </x:c>
      <x:c r="O50" s="95">
        <x:f>IF(COUNTIF(L47:L50,"&gt;=0"),ROUND(AVERAGEIF(L47:L50,"&gt;=0"),3),0)</x:f>
      </x:c>
    </x:row>
    <x:row r="51" spans="1:87" customFormat="1" ht="16.15" customHeight="1" thickBot="1" x14ac:dyDescent="0.55000000000000004">
      <x:c r="A51" s="114">
        <x:f>IF(O51=0,"",_xlfn.FLOOR.MATH(RANK(N51,$N$11:$N$131)/4+1+SUMPRODUCT(-(-($N$11:$N$131=N51)),-(-(O51&lt;$O$11:$O$131)))/4))</x:f>
      </x:c>
      <x:c r="B51" s="77" t="s">
        <x:v>89</x:v>
      </x:c>
      <x:c r="C51" s="77" t="n">
        <x:v>1</x:v>
      </x:c>
      <x:c r="D51" s="101" t="s"/>
      <x:c r="E51" s="102" t="s"/>
      <x:c r="F51" s="103" t="s"/>
      <x:c r="G51" s="78">
        <x:f>IF($G$6&lt;&gt;"",$G$6,"")</x:f>
      </x:c>
      <x:c r="H51" s="110" t="s"/>
      <x:c r="I51" s="110" t="s"/>
      <x:c r="J51" s="314" t="s"/>
      <x:c r="K51" s="314" t="s"/>
      <x:c r="L51" s="80">
        <x:f>IF(COUNTBLANK(H51:I51)=0,AVERAGE(H51:I51),-0.000001)</x:f>
      </x:c>
      <x:c r="M51" s="81">
        <x:f>IF(COUNTBLANK(H51:K51)=0,1,0)</x:f>
      </x:c>
      <x:c r="N51" s="81">
        <x:f>SUM(M51:M54)</x:f>
      </x:c>
      <x:c r="O51" s="82">
        <x:f>IF(COUNTIF(L51:L54,"&gt;=0"),ROUND(AVERAGEIF(L51:L54,"&gt;=0"),3),0)</x:f>
      </x:c>
    </x:row>
    <x:row r="52" spans="1:87" customFormat="1" ht="16.15" customHeight="1" thickBot="1" x14ac:dyDescent="0.55000000000000004">
      <x:c r="A52" s="115">
        <x:f>IF(O52=0,"",_xlfn.FLOOR.MATH(RANK(N52,$N$11:$N$131)/4+1+SUMPRODUCT(-(-($N$11:$N$131=N52)),-(-(O52&lt;$O$11:$O$131)))/4))</x:f>
      </x:c>
      <x:c r="B52" s="34" t="s">
        <x:v>89</x:v>
      </x:c>
      <x:c r="C52" s="34" t="n">
        <x:v>2</x:v>
      </x:c>
      <x:c r="D52" s="104" t="s"/>
      <x:c r="E52" s="105" t="s"/>
      <x:c r="F52" s="106" t="s"/>
      <x:c r="G52" s="83">
        <x:f>IF($G$7&lt;&gt;"",$G$7,"")</x:f>
      </x:c>
      <x:c r="H52" s="111" t="s"/>
      <x:c r="I52" s="111" t="s"/>
      <x:c r="J52" s="314" t="s"/>
      <x:c r="K52" s="314" t="s"/>
      <x:c r="L52" s="96">
        <x:f>IF(COUNTBLANK(H52:I52)=0,AVERAGE(H52:I52),-0.000001)</x:f>
      </x:c>
      <x:c r="M52" s="81">
        <x:f>IF(COUNTBLANK(H52:K52)=0,1,0)</x:f>
      </x:c>
      <x:c r="N52" s="84">
        <x:f>SUM(M51:M54)</x:f>
      </x:c>
      <x:c r="O52" s="85">
        <x:f>IF(COUNTIF(L51:L54,"&gt;=0"),ROUND(AVERAGEIF(L51:L54,"&gt;=0"),3),0)</x:f>
      </x:c>
    </x:row>
    <x:row r="53" spans="1:87" customFormat="1" ht="16.15" customHeight="1" thickBot="1" x14ac:dyDescent="0.55000000000000004">
      <x:c r="A53" s="116">
        <x:f>IF(O53=0,"",_xlfn.FLOOR.MATH(RANK(N53,$N$11:$N$131)/4+1+SUMPRODUCT(-(-($N$11:$N$131=N53)),-(-(O53&lt;$O$11:$O$131)))/4))</x:f>
      </x:c>
      <x:c r="B53" s="34" t="s">
        <x:v>89</x:v>
      </x:c>
      <x:c r="C53" s="34" t="n">
        <x:v>3</x:v>
      </x:c>
      <x:c r="E53" s="105" t="s"/>
      <x:c r="G53" s="86">
        <x:f>IF($G$8&lt;&gt;"",$G$8,"")</x:f>
      </x:c>
      <x:c r="H53" s="112" t="s"/>
      <x:c r="I53" s="112" t="s"/>
      <x:c r="J53" s="87" t="s"/>
      <x:c r="K53" s="87" t="s"/>
      <x:c r="L53" s="97" t="s"/>
      <x:c r="M53" s="81">
        <x:f>IF(COUNTBLANK(H53:K53)=0,1,0)</x:f>
      </x:c>
      <x:c r="N53" s="84">
        <x:f>SUM(M51:M54)</x:f>
      </x:c>
      <x:c r="O53" s="89">
        <x:f>IF(COUNTIF(L51:L54,"&gt;=0"),ROUND(AVERAGEIF(L51:L54,"&gt;=0"),3),0)</x:f>
      </x:c>
    </x:row>
    <x:row r="54" spans="1:87" customFormat="1" ht="16.15" customHeight="1" thickBot="1" x14ac:dyDescent="0.55000000000000004">
      <x:c r="A54" s="117">
        <x:f>IF(O54=0,"",_xlfn.FLOOR.MATH(RANK(N54,$N$11:$N$131)/4+1+SUMPRODUCT(-(-($N$11:$N$131=N54)),-(-(O54&lt;$O$11:$O$131)))/4))</x:f>
      </x:c>
      <x:c r="B54" s="74" t="s">
        <x:v>89</x:v>
      </x:c>
      <x:c r="C54" s="74" t="n">
        <x:v>4</x:v>
      </x:c>
      <x:c r="D54" s="107" t="s"/>
      <x:c r="E54" s="108" t="s"/>
      <x:c r="F54" s="109" t="s"/>
      <x:c r="G54" s="90">
        <x:f>IF($G$9&lt;&gt;"",$G$9,"")</x:f>
      </x:c>
      <x:c r="H54" s="113" t="s"/>
      <x:c r="I54" s="113" t="s"/>
      <x:c r="J54" s="91" t="s"/>
      <x:c r="K54" s="91" t="s"/>
      <x:c r="L54" s="93" t="s"/>
      <x:c r="M54" s="81">
        <x:f>IF(COUNTBLANK(H54:K54)=0,1,0)</x:f>
      </x:c>
      <x:c r="N54" s="94">
        <x:f>SUM(M51:M54)</x:f>
      </x:c>
      <x:c r="O54" s="95">
        <x:f>IF(COUNTIF(L51:L54,"&gt;=0"),ROUND(AVERAGEIF(L51:L54,"&gt;=0"),3),0)</x:f>
      </x:c>
    </x:row>
    <x:row r="55" spans="1:87" customFormat="1" ht="16.15" customHeight="1" thickBot="1" x14ac:dyDescent="0.55000000000000004">
      <x:c r="A55" s="114">
        <x:f>IF(O55=0,"",_xlfn.FLOOR.MATH(RANK(N55,$N$11:$N$131)/4+1+SUMPRODUCT(-(-($N$11:$N$131=N55)),-(-(O55&lt;$O$11:$O$131)))/4))</x:f>
      </x:c>
      <x:c r="B55" s="77" t="s">
        <x:v>89</x:v>
      </x:c>
      <x:c r="C55" s="77" t="n">
        <x:v>1</x:v>
      </x:c>
      <x:c r="D55" s="101" t="s"/>
      <x:c r="E55" s="102" t="s"/>
      <x:c r="F55" s="103" t="s"/>
      <x:c r="G55" s="78">
        <x:f>IF($G$6&lt;&gt;"",$G$6,"")</x:f>
      </x:c>
      <x:c r="H55" s="110" t="s"/>
      <x:c r="I55" s="110" t="s"/>
      <x:c r="J55" s="314" t="s"/>
      <x:c r="K55" s="314" t="s"/>
      <x:c r="L55" s="80">
        <x:f>IF(COUNTBLANK(H55:I55)=0,AVERAGE(H55:I55),-0.000001)</x:f>
      </x:c>
      <x:c r="M55" s="81">
        <x:f>IF(COUNTBLANK(H55:K55)=0,1,0)</x:f>
      </x:c>
      <x:c r="N55" s="81">
        <x:f>SUM(M55:M58)</x:f>
      </x:c>
      <x:c r="O55" s="82">
        <x:f>IF(COUNTIF(L55:L58,"&gt;=0"),ROUND(AVERAGEIF(L55:L58,"&gt;=0"),3),0)</x:f>
      </x:c>
    </x:row>
    <x:row r="56" spans="1:87" customFormat="1" ht="16.15" customHeight="1" thickBot="1" x14ac:dyDescent="0.55000000000000004">
      <x:c r="A56" s="115">
        <x:f>IF(O56=0,"",_xlfn.FLOOR.MATH(RANK(N56,$N$11:$N$131)/4+1+SUMPRODUCT(-(-($N$11:$N$131=N56)),-(-(O56&lt;$O$11:$O$131)))/4))</x:f>
      </x:c>
      <x:c r="B56" s="34" t="s">
        <x:v>89</x:v>
      </x:c>
      <x:c r="C56" s="34" t="n">
        <x:v>2</x:v>
      </x:c>
      <x:c r="D56" s="104" t="s"/>
      <x:c r="E56" s="105" t="s"/>
      <x:c r="F56" s="106" t="s"/>
      <x:c r="G56" s="83">
        <x:f>IF($G$7&lt;&gt;"",$G$7,"")</x:f>
      </x:c>
      <x:c r="H56" s="111" t="s"/>
      <x:c r="I56" s="111" t="s"/>
      <x:c r="J56" s="314" t="s"/>
      <x:c r="K56" s="314" t="s"/>
      <x:c r="L56" s="96">
        <x:f>IF(COUNTBLANK(H56:I56)=0,AVERAGE(H56:I56),-0.000001)</x:f>
      </x:c>
      <x:c r="M56" s="81">
        <x:f>IF(COUNTBLANK(H56:K56)=0,1,0)</x:f>
      </x:c>
      <x:c r="N56" s="84">
        <x:f>SUM(M55:M58)</x:f>
      </x:c>
      <x:c r="O56" s="85">
        <x:f>IF(COUNTIF(L55:L58,"&gt;=0"),ROUND(AVERAGEIF(L55:L58,"&gt;=0"),3),0)</x:f>
      </x:c>
    </x:row>
    <x:row r="57" spans="1:87" customFormat="1" ht="16.15" customHeight="1" thickBot="1" x14ac:dyDescent="0.55000000000000004">
      <x:c r="A57" s="116">
        <x:f>IF(O57=0,"",_xlfn.FLOOR.MATH(RANK(N57,$N$11:$N$131)/4+1+SUMPRODUCT(-(-($N$11:$N$131=N57)),-(-(O57&lt;$O$11:$O$131)))/4))</x:f>
      </x:c>
      <x:c r="B57" s="34" t="s">
        <x:v>89</x:v>
      </x:c>
      <x:c r="C57" s="34" t="n">
        <x:v>3</x:v>
      </x:c>
      <x:c r="E57" s="105" t="s"/>
      <x:c r="G57" s="86">
        <x:f>IF($G$8&lt;&gt;"",$G$8,"")</x:f>
      </x:c>
      <x:c r="H57" s="112" t="s"/>
      <x:c r="I57" s="112" t="s"/>
      <x:c r="J57" s="87" t="s"/>
      <x:c r="K57" s="87" t="s"/>
      <x:c r="L57" s="97" t="s"/>
      <x:c r="M57" s="81">
        <x:f>IF(COUNTBLANK(H57:K57)=0,1,0)</x:f>
      </x:c>
      <x:c r="N57" s="84">
        <x:f>SUM(M55:M58)</x:f>
      </x:c>
      <x:c r="O57" s="89">
        <x:f>IF(COUNTIF(L55:L58,"&gt;=0"),ROUND(AVERAGEIF(L55:L58,"&gt;=0"),3),0)</x:f>
      </x:c>
    </x:row>
    <x:row r="58" spans="1:87" customFormat="1" ht="16.15" customHeight="1" thickBot="1" x14ac:dyDescent="0.55000000000000004">
      <x:c r="A58" s="117">
        <x:f>IF(O58=0,"",_xlfn.FLOOR.MATH(RANK(N58,$N$11:$N$131)/4+1+SUMPRODUCT(-(-($N$11:$N$131=N58)),-(-(O58&lt;$O$11:$O$131)))/4))</x:f>
      </x:c>
      <x:c r="B58" s="74" t="s">
        <x:v>89</x:v>
      </x:c>
      <x:c r="C58" s="74" t="n">
        <x:v>4</x:v>
      </x:c>
      <x:c r="D58" s="107" t="s"/>
      <x:c r="E58" s="108" t="s"/>
      <x:c r="F58" s="109" t="s"/>
      <x:c r="G58" s="90">
        <x:f>IF($G$9&lt;&gt;"",$G$9,"")</x:f>
      </x:c>
      <x:c r="H58" s="113" t="s"/>
      <x:c r="I58" s="113" t="s"/>
      <x:c r="J58" s="91" t="s"/>
      <x:c r="K58" s="91" t="s"/>
      <x:c r="L58" s="93" t="s"/>
      <x:c r="M58" s="81">
        <x:f>IF(COUNTBLANK(H58:K58)=0,1,0)</x:f>
      </x:c>
      <x:c r="N58" s="94">
        <x:f>SUM(M55:M58)</x:f>
      </x:c>
      <x:c r="O58" s="95">
        <x:f>IF(COUNTIF(L55:L58,"&gt;=0"),ROUND(AVERAGEIF(L55:L58,"&gt;=0"),3),0)</x:f>
      </x:c>
    </x:row>
    <x:row r="59" spans="1:87" customFormat="1" ht="16.15" customHeight="1" thickBot="1" x14ac:dyDescent="0.55000000000000004">
      <x:c r="A59" s="114">
        <x:f>IF(O59=0,"",_xlfn.FLOOR.MATH(RANK(N59,$N$11:$N$131)/4+1+SUMPRODUCT(-(-($N$11:$N$131=N59)),-(-(O59&lt;$O$11:$O$131)))/4))</x:f>
      </x:c>
      <x:c r="B59" s="77" t="s">
        <x:v>89</x:v>
      </x:c>
      <x:c r="C59" s="77" t="n">
        <x:v>1</x:v>
      </x:c>
      <x:c r="D59" s="101" t="s"/>
      <x:c r="E59" s="102" t="s"/>
      <x:c r="F59" s="103" t="s"/>
      <x:c r="G59" s="78">
        <x:f>IF($G$6&lt;&gt;"",$G$6,"")</x:f>
      </x:c>
      <x:c r="H59" s="110" t="s"/>
      <x:c r="I59" s="110" t="s"/>
      <x:c r="J59" s="314" t="s"/>
      <x:c r="K59" s="314" t="s"/>
      <x:c r="L59" s="80">
        <x:f>IF(COUNTBLANK(H59:I59)=0,AVERAGE(H59:I59),-0.000001)</x:f>
      </x:c>
      <x:c r="M59" s="81">
        <x:f>IF(COUNTBLANK(H59:K59)=0,1,0)</x:f>
      </x:c>
      <x:c r="N59" s="81">
        <x:f>SUM(M59:M62)</x:f>
      </x:c>
      <x:c r="O59" s="82">
        <x:f>IF(COUNTIF(L59:L62,"&gt;=0"),ROUND(AVERAGEIF(L59:L62,"&gt;=0"),3),0)</x:f>
      </x:c>
    </x:row>
    <x:row r="60" spans="1:87" customFormat="1" ht="16.15" customHeight="1" thickBot="1" x14ac:dyDescent="0.55000000000000004">
      <x:c r="A60" s="115">
        <x:f>IF(O60=0,"",_xlfn.FLOOR.MATH(RANK(N60,$N$11:$N$131)/4+1+SUMPRODUCT(-(-($N$11:$N$131=N60)),-(-(O60&lt;$O$11:$O$131)))/4))</x:f>
      </x:c>
      <x:c r="B60" s="34" t="s">
        <x:v>89</x:v>
      </x:c>
      <x:c r="C60" s="34" t="n">
        <x:v>2</x:v>
      </x:c>
      <x:c r="D60" s="104" t="s"/>
      <x:c r="E60" s="105" t="s"/>
      <x:c r="F60" s="106" t="s"/>
      <x:c r="G60" s="83">
        <x:f>IF($G$7&lt;&gt;"",$G$7,"")</x:f>
      </x:c>
      <x:c r="H60" s="111" t="s"/>
      <x:c r="I60" s="111" t="s"/>
      <x:c r="J60" s="314" t="s"/>
      <x:c r="K60" s="314" t="s"/>
      <x:c r="L60" s="96">
        <x:f>IF(COUNTBLANK(H60:I60)=0,AVERAGE(H60:I60),-0.000001)</x:f>
      </x:c>
      <x:c r="M60" s="81">
        <x:f>IF(COUNTBLANK(H60:K60)=0,1,0)</x:f>
      </x:c>
      <x:c r="N60" s="84">
        <x:f>SUM(M59:M62)</x:f>
      </x:c>
      <x:c r="O60" s="85">
        <x:f>IF(COUNTIF(L59:L62,"&gt;=0"),ROUND(AVERAGEIF(L59:L62,"&gt;=0"),3),0)</x:f>
      </x:c>
    </x:row>
    <x:row r="61" spans="1:87" customFormat="1" ht="16.15" customHeight="1" thickBot="1" x14ac:dyDescent="0.55000000000000004">
      <x:c r="A61" s="116">
        <x:f>IF(O61=0,"",_xlfn.FLOOR.MATH(RANK(N61,$N$11:$N$131)/4+1+SUMPRODUCT(-(-($N$11:$N$131=N61)),-(-(O61&lt;$O$11:$O$131)))/4))</x:f>
      </x:c>
      <x:c r="B61" s="34" t="s">
        <x:v>89</x:v>
      </x:c>
      <x:c r="C61" s="34" t="n">
        <x:v>3</x:v>
      </x:c>
      <x:c r="E61" s="105" t="s"/>
      <x:c r="G61" s="86">
        <x:f>IF($G$8&lt;&gt;"",$G$8,"")</x:f>
      </x:c>
      <x:c r="H61" s="112" t="s"/>
      <x:c r="I61" s="112" t="s"/>
      <x:c r="J61" s="87" t="s"/>
      <x:c r="K61" s="87" t="s"/>
      <x:c r="L61" s="97" t="s"/>
      <x:c r="M61" s="81">
        <x:f>IF(COUNTBLANK(H61:K61)=0,1,0)</x:f>
      </x:c>
      <x:c r="N61" s="84">
        <x:f>SUM(M59:M62)</x:f>
      </x:c>
      <x:c r="O61" s="89">
        <x:f>IF(COUNTIF(L59:L62,"&gt;=0"),ROUND(AVERAGEIF(L59:L62,"&gt;=0"),3),0)</x:f>
      </x:c>
    </x:row>
    <x:row r="62" spans="1:87" customFormat="1" ht="16.15" customHeight="1" thickBot="1" x14ac:dyDescent="0.55000000000000004">
      <x:c r="A62" s="117">
        <x:f>IF(O62=0,"",_xlfn.FLOOR.MATH(RANK(N62,$N$11:$N$131)/4+1+SUMPRODUCT(-(-($N$11:$N$131=N62)),-(-(O62&lt;$O$11:$O$131)))/4))</x:f>
      </x:c>
      <x:c r="B62" s="74" t="s">
        <x:v>89</x:v>
      </x:c>
      <x:c r="C62" s="74" t="n">
        <x:v>4</x:v>
      </x:c>
      <x:c r="D62" s="107" t="s"/>
      <x:c r="E62" s="108" t="s"/>
      <x:c r="F62" s="109" t="s"/>
      <x:c r="G62" s="90">
        <x:f>IF($G$9&lt;&gt;"",$G$9,"")</x:f>
      </x:c>
      <x:c r="H62" s="113" t="s"/>
      <x:c r="I62" s="113" t="s"/>
      <x:c r="J62" s="91" t="s"/>
      <x:c r="K62" s="91" t="s"/>
      <x:c r="L62" s="93" t="s"/>
      <x:c r="M62" s="81">
        <x:f>IF(COUNTBLANK(H62:K62)=0,1,0)</x:f>
      </x:c>
      <x:c r="N62" s="94">
        <x:f>SUM(M59:M62)</x:f>
      </x:c>
      <x:c r="O62" s="95">
        <x:f>IF(COUNTIF(L59:L62,"&gt;=0"),ROUND(AVERAGEIF(L59:L62,"&gt;=0"),3),0)</x:f>
      </x:c>
    </x:row>
    <x:row r="63" spans="1:87" customFormat="1" ht="16.15" customHeight="1" thickBot="1" x14ac:dyDescent="0.55000000000000004">
      <x:c r="A63" s="114">
        <x:f>IF(O63=0,"",_xlfn.FLOOR.MATH(RANK(N63,$N$11:$N$131)/4+1+SUMPRODUCT(-(-($N$11:$N$131=N63)),-(-(O63&lt;$O$11:$O$131)))/4))</x:f>
      </x:c>
      <x:c r="B63" s="77" t="s">
        <x:v>89</x:v>
      </x:c>
      <x:c r="C63" s="77" t="n">
        <x:v>1</x:v>
      </x:c>
      <x:c r="D63" s="101" t="s"/>
      <x:c r="E63" s="102" t="s"/>
      <x:c r="F63" s="103" t="s"/>
      <x:c r="G63" s="78">
        <x:f>IF($G$6&lt;&gt;"",$G$6,"")</x:f>
      </x:c>
      <x:c r="H63" s="110" t="s"/>
      <x:c r="I63" s="110" t="s"/>
      <x:c r="J63" s="314" t="s"/>
      <x:c r="K63" s="314" t="s"/>
      <x:c r="L63" s="80">
        <x:f>IF(COUNTBLANK(H63:I63)=0,AVERAGE(H63:I63),-0.000001)</x:f>
      </x:c>
      <x:c r="M63" s="81">
        <x:f>IF(COUNTBLANK(H63:K63)=0,1,0)</x:f>
      </x:c>
      <x:c r="N63" s="81">
        <x:f>SUM(M63:M66)</x:f>
      </x:c>
      <x:c r="O63" s="82">
        <x:f>IF(COUNTIF(L63:L66,"&gt;=0"),ROUND(AVERAGEIF(L63:L66,"&gt;=0"),3),0)</x:f>
      </x:c>
    </x:row>
    <x:row r="64" spans="1:87" customFormat="1" ht="16.15" customHeight="1" thickBot="1" x14ac:dyDescent="0.55000000000000004">
      <x:c r="A64" s="115">
        <x:f>IF(O64=0,"",_xlfn.FLOOR.MATH(RANK(N64,$N$11:$N$131)/4+1+SUMPRODUCT(-(-($N$11:$N$131=N64)),-(-(O64&lt;$O$11:$O$131)))/4))</x:f>
      </x:c>
      <x:c r="B64" s="34" t="s">
        <x:v>89</x:v>
      </x:c>
      <x:c r="C64" s="34" t="n">
        <x:v>2</x:v>
      </x:c>
      <x:c r="D64" s="104" t="s"/>
      <x:c r="E64" s="105" t="s"/>
      <x:c r="F64" s="106" t="s"/>
      <x:c r="G64" s="83">
        <x:f>IF($G$7&lt;&gt;"",$G$7,"")</x:f>
      </x:c>
      <x:c r="H64" s="111" t="s"/>
      <x:c r="I64" s="111" t="s"/>
      <x:c r="J64" s="314" t="s"/>
      <x:c r="K64" s="314" t="s"/>
      <x:c r="L64" s="96">
        <x:f>IF(COUNTBLANK(H64:I64)=0,AVERAGE(H64:I64),-0.000001)</x:f>
      </x:c>
      <x:c r="M64" s="81">
        <x:f>IF(COUNTBLANK(H64:K64)=0,1,0)</x:f>
      </x:c>
      <x:c r="N64" s="84">
        <x:f>SUM(M63:M66)</x:f>
      </x:c>
      <x:c r="O64" s="85">
        <x:f>IF(COUNTIF(L63:L66,"&gt;=0"),ROUND(AVERAGEIF(L63:L66,"&gt;=0"),3),0)</x:f>
      </x:c>
    </x:row>
    <x:row r="65" spans="1:87" customFormat="1" ht="16.15" customHeight="1" thickBot="1" x14ac:dyDescent="0.55000000000000004">
      <x:c r="A65" s="116">
        <x:f>IF(O65=0,"",_xlfn.FLOOR.MATH(RANK(N65,$N$11:$N$131)/4+1+SUMPRODUCT(-(-($N$11:$N$131=N65)),-(-(O65&lt;$O$11:$O$131)))/4))</x:f>
      </x:c>
      <x:c r="B65" s="34" t="s">
        <x:v>89</x:v>
      </x:c>
      <x:c r="C65" s="34" t="n">
        <x:v>3</x:v>
      </x:c>
      <x:c r="E65" s="105" t="s"/>
      <x:c r="G65" s="86">
        <x:f>IF($G$8&lt;&gt;"",$G$8,"")</x:f>
      </x:c>
      <x:c r="H65" s="112" t="s"/>
      <x:c r="I65" s="112" t="s"/>
      <x:c r="J65" s="87" t="s"/>
      <x:c r="K65" s="87" t="s"/>
      <x:c r="L65" s="97" t="s"/>
      <x:c r="M65" s="81">
        <x:f>IF(COUNTBLANK(H65:K65)=0,1,0)</x:f>
      </x:c>
      <x:c r="N65" s="84">
        <x:f>SUM(M63:M66)</x:f>
      </x:c>
      <x:c r="O65" s="89">
        <x:f>IF(COUNTIF(L63:L66,"&gt;=0"),ROUND(AVERAGEIF(L63:L66,"&gt;=0"),3),0)</x:f>
      </x:c>
    </x:row>
    <x:row r="66" spans="1:87" customFormat="1" ht="16.15" customHeight="1" thickBot="1" x14ac:dyDescent="0.55000000000000004">
      <x:c r="A66" s="117">
        <x:f>IF(O66=0,"",_xlfn.FLOOR.MATH(RANK(N66,$N$11:$N$131)/4+1+SUMPRODUCT(-(-($N$11:$N$131=N66)),-(-(O66&lt;$O$11:$O$131)))/4))</x:f>
      </x:c>
      <x:c r="B66" s="74" t="s">
        <x:v>89</x:v>
      </x:c>
      <x:c r="C66" s="74" t="n">
        <x:v>4</x:v>
      </x:c>
      <x:c r="D66" s="107" t="s"/>
      <x:c r="E66" s="108" t="s"/>
      <x:c r="F66" s="109" t="s"/>
      <x:c r="G66" s="90">
        <x:f>IF($G$9&lt;&gt;"",$G$9,"")</x:f>
      </x:c>
      <x:c r="H66" s="113" t="s"/>
      <x:c r="I66" s="113" t="s"/>
      <x:c r="J66" s="91" t="s"/>
      <x:c r="K66" s="91" t="s"/>
      <x:c r="L66" s="93" t="s"/>
      <x:c r="M66" s="81">
        <x:f>IF(COUNTBLANK(H66:K66)=0,1,0)</x:f>
      </x:c>
      <x:c r="N66" s="94">
        <x:f>SUM(M63:M66)</x:f>
      </x:c>
      <x:c r="O66" s="95">
        <x:f>IF(COUNTIF(L63:L66,"&gt;=0"),ROUND(AVERAGEIF(L63:L66,"&gt;=0"),3),0)</x:f>
      </x:c>
    </x:row>
    <x:row r="67" spans="1:87" customFormat="1" ht="16.15" customHeight="1" thickBot="1" x14ac:dyDescent="0.55000000000000004">
      <x:c r="A67" s="114">
        <x:f>IF(O67=0,"",_xlfn.FLOOR.MATH(RANK(N67,$N$11:$N$131)/4+1+SUMPRODUCT(-(-($N$11:$N$131=N67)),-(-(O67&lt;$O$11:$O$131)))/4))</x:f>
      </x:c>
      <x:c r="B67" s="77" t="s">
        <x:v>89</x:v>
      </x:c>
      <x:c r="C67" s="77" t="n">
        <x:v>1</x:v>
      </x:c>
      <x:c r="D67" s="101" t="s"/>
      <x:c r="E67" s="102" t="s"/>
      <x:c r="F67" s="103" t="s"/>
      <x:c r="G67" s="78">
        <x:f>IF($G$6&lt;&gt;"",$G$6,"")</x:f>
      </x:c>
      <x:c r="H67" s="110" t="s"/>
      <x:c r="I67" s="110" t="s"/>
      <x:c r="J67" s="314" t="s"/>
      <x:c r="K67" s="314" t="s"/>
      <x:c r="L67" s="80">
        <x:f>IF(COUNTBLANK(H67:I67)=0,AVERAGE(H67:I67),-0.000001)</x:f>
      </x:c>
      <x:c r="M67" s="81">
        <x:f>IF(COUNTBLANK(H67:K67)=0,1,0)</x:f>
      </x:c>
      <x:c r="N67" s="81">
        <x:f>SUM(M67:M70)</x:f>
      </x:c>
      <x:c r="O67" s="82">
        <x:f>IF(COUNTIF(L67:L70,"&gt;=0"),ROUND(AVERAGEIF(L67:L70,"&gt;=0"),3),0)</x:f>
      </x:c>
    </x:row>
    <x:row r="68" spans="1:87" customFormat="1" ht="16.15" customHeight="1" thickBot="1" x14ac:dyDescent="0.55000000000000004">
      <x:c r="A68" s="115">
        <x:f>IF(O68=0,"",_xlfn.FLOOR.MATH(RANK(N68,$N$11:$N$131)/4+1+SUMPRODUCT(-(-($N$11:$N$131=N68)),-(-(O68&lt;$O$11:$O$131)))/4))</x:f>
      </x:c>
      <x:c r="B68" s="34" t="s">
        <x:v>89</x:v>
      </x:c>
      <x:c r="C68" s="34" t="n">
        <x:v>2</x:v>
      </x:c>
      <x:c r="D68" s="104" t="s"/>
      <x:c r="E68" s="105" t="s"/>
      <x:c r="F68" s="106" t="s"/>
      <x:c r="G68" s="83">
        <x:f>IF($G$7&lt;&gt;"",$G$7,"")</x:f>
      </x:c>
      <x:c r="H68" s="111" t="s"/>
      <x:c r="I68" s="111" t="s"/>
      <x:c r="J68" s="314" t="s"/>
      <x:c r="K68" s="314" t="s"/>
      <x:c r="L68" s="96">
        <x:f>IF(COUNTBLANK(H68:I68)=0,AVERAGE(H68:I68),-0.000001)</x:f>
      </x:c>
      <x:c r="M68" s="81">
        <x:f>IF(COUNTBLANK(H68:K68)=0,1,0)</x:f>
      </x:c>
      <x:c r="N68" s="84">
        <x:f>SUM(M67:M70)</x:f>
      </x:c>
      <x:c r="O68" s="85">
        <x:f>IF(COUNTIF(L67:L70,"&gt;=0"),ROUND(AVERAGEIF(L67:L70,"&gt;=0"),3),0)</x:f>
      </x:c>
    </x:row>
    <x:row r="69" spans="1:87" customFormat="1" ht="16.15" customHeight="1" thickBot="1" x14ac:dyDescent="0.55000000000000004">
      <x:c r="A69" s="116">
        <x:f>IF(O69=0,"",_xlfn.FLOOR.MATH(RANK(N69,$N$11:$N$131)/4+1+SUMPRODUCT(-(-($N$11:$N$131=N69)),-(-(O69&lt;$O$11:$O$131)))/4))</x:f>
      </x:c>
      <x:c r="B69" s="34" t="s">
        <x:v>89</x:v>
      </x:c>
      <x:c r="C69" s="34" t="n">
        <x:v>3</x:v>
      </x:c>
      <x:c r="E69" s="105" t="s"/>
      <x:c r="G69" s="86">
        <x:f>IF($G$8&lt;&gt;"",$G$8,"")</x:f>
      </x:c>
      <x:c r="H69" s="112" t="s"/>
      <x:c r="I69" s="112" t="s"/>
      <x:c r="J69" s="87" t="s"/>
      <x:c r="K69" s="87" t="s"/>
      <x:c r="L69" s="97" t="s"/>
      <x:c r="M69" s="81">
        <x:f>IF(COUNTBLANK(H69:K69)=0,1,0)</x:f>
      </x:c>
      <x:c r="N69" s="84">
        <x:f>SUM(M67:M70)</x:f>
      </x:c>
      <x:c r="O69" s="89">
        <x:f>IF(COUNTIF(L67:L70,"&gt;=0"),ROUND(AVERAGEIF(L67:L70,"&gt;=0"),3),0)</x:f>
      </x:c>
    </x:row>
    <x:row r="70" spans="1:87" customFormat="1" ht="16.15" customHeight="1" thickBot="1" x14ac:dyDescent="0.55000000000000004">
      <x:c r="A70" s="117">
        <x:f>IF(O70=0,"",_xlfn.FLOOR.MATH(RANK(N70,$N$11:$N$131)/4+1+SUMPRODUCT(-(-($N$11:$N$131=N70)),-(-(O70&lt;$O$11:$O$131)))/4))</x:f>
      </x:c>
      <x:c r="B70" s="74" t="s">
        <x:v>89</x:v>
      </x:c>
      <x:c r="C70" s="74" t="n">
        <x:v>4</x:v>
      </x:c>
      <x:c r="D70" s="107" t="s"/>
      <x:c r="E70" s="108" t="s"/>
      <x:c r="F70" s="109" t="s"/>
      <x:c r="G70" s="90">
        <x:f>IF($G$9&lt;&gt;"",$G$9,"")</x:f>
      </x:c>
      <x:c r="H70" s="113" t="s"/>
      <x:c r="I70" s="113" t="s"/>
      <x:c r="J70" s="91" t="s"/>
      <x:c r="K70" s="91" t="s"/>
      <x:c r="L70" s="93" t="s"/>
      <x:c r="M70" s="81">
        <x:f>IF(COUNTBLANK(H70:K70)=0,1,0)</x:f>
      </x:c>
      <x:c r="N70" s="94">
        <x:f>SUM(M67:M70)</x:f>
      </x:c>
      <x:c r="O70" s="95">
        <x:f>IF(COUNTIF(L67:L70,"&gt;=0"),ROUND(AVERAGEIF(L67:L70,"&gt;=0"),3),0)</x:f>
      </x:c>
    </x:row>
    <x:row r="71" spans="1:87" customFormat="1" ht="16.15" customHeight="1" thickBot="1" x14ac:dyDescent="0.55000000000000004">
      <x:c r="A71" s="114">
        <x:f>IF(O71=0,"",_xlfn.FLOOR.MATH(RANK(N71,$N$11:$N$131)/4+1+SUMPRODUCT(-(-($N$11:$N$131=N71)),-(-(O71&lt;$O$11:$O$131)))/4))</x:f>
      </x:c>
      <x:c r="B71" s="77" t="s">
        <x:v>89</x:v>
      </x:c>
      <x:c r="C71" s="77" t="n">
        <x:v>1</x:v>
      </x:c>
      <x:c r="D71" s="101" t="s"/>
      <x:c r="E71" s="102" t="s"/>
      <x:c r="F71" s="103" t="s"/>
      <x:c r="G71" s="78">
        <x:f>IF($G$6&lt;&gt;"",$G$6,"")</x:f>
      </x:c>
      <x:c r="H71" s="110" t="s"/>
      <x:c r="I71" s="110" t="s"/>
      <x:c r="J71" s="314" t="s"/>
      <x:c r="K71" s="314" t="s"/>
      <x:c r="L71" s="80">
        <x:f>IF(COUNTBLANK(H71:I71)=0,AVERAGE(H71:I71),-0.000001)</x:f>
      </x:c>
      <x:c r="M71" s="81">
        <x:f>IF(COUNTBLANK(H71:K71)=0,1,0)</x:f>
      </x:c>
      <x:c r="N71" s="81">
        <x:f>SUM(M71:M74)</x:f>
      </x:c>
      <x:c r="O71" s="82">
        <x:f>IF(COUNTIF(L71:L74,"&gt;=0"),ROUND(AVERAGEIF(L71:L74,"&gt;=0"),3),0)</x:f>
      </x:c>
    </x:row>
    <x:row r="72" spans="1:87" customFormat="1" ht="16.15" customHeight="1" thickBot="1" x14ac:dyDescent="0.55000000000000004">
      <x:c r="A72" s="115">
        <x:f>IF(O72=0,"",_xlfn.FLOOR.MATH(RANK(N72,$N$11:$N$131)/4+1+SUMPRODUCT(-(-($N$11:$N$131=N72)),-(-(O72&lt;$O$11:$O$131)))/4))</x:f>
      </x:c>
      <x:c r="B72" s="34" t="s">
        <x:v>89</x:v>
      </x:c>
      <x:c r="C72" s="34" t="n">
        <x:v>2</x:v>
      </x:c>
      <x:c r="D72" s="104" t="s"/>
      <x:c r="E72" s="105" t="s"/>
      <x:c r="F72" s="106" t="s"/>
      <x:c r="G72" s="83">
        <x:f>IF($G$7&lt;&gt;"",$G$7,"")</x:f>
      </x:c>
      <x:c r="H72" s="111" t="s"/>
      <x:c r="I72" s="111" t="s"/>
      <x:c r="J72" s="314" t="s"/>
      <x:c r="K72" s="314" t="s"/>
      <x:c r="L72" s="96">
        <x:f>IF(COUNTBLANK(H72:I72)=0,AVERAGE(H72:I72),-0.000001)</x:f>
      </x:c>
      <x:c r="M72" s="81">
        <x:f>IF(COUNTBLANK(H72:K72)=0,1,0)</x:f>
      </x:c>
      <x:c r="N72" s="84">
        <x:f>SUM(M71:M74)</x:f>
      </x:c>
      <x:c r="O72" s="85">
        <x:f>IF(COUNTIF(L71:L74,"&gt;=0"),ROUND(AVERAGEIF(L71:L74,"&gt;=0"),3),0)</x:f>
      </x:c>
    </x:row>
    <x:row r="73" spans="1:87" customFormat="1" ht="16.15" customHeight="1" thickBot="1" x14ac:dyDescent="0.55000000000000004">
      <x:c r="A73" s="116">
        <x:f>IF(O73=0,"",_xlfn.FLOOR.MATH(RANK(N73,$N$11:$N$131)/4+1+SUMPRODUCT(-(-($N$11:$N$131=N73)),-(-(O73&lt;$O$11:$O$131)))/4))</x:f>
      </x:c>
      <x:c r="B73" s="34" t="s">
        <x:v>89</x:v>
      </x:c>
      <x:c r="C73" s="34" t="n">
        <x:v>3</x:v>
      </x:c>
      <x:c r="E73" s="105" t="s"/>
      <x:c r="G73" s="86">
        <x:f>IF($G$8&lt;&gt;"",$G$8,"")</x:f>
      </x:c>
      <x:c r="H73" s="112" t="s"/>
      <x:c r="I73" s="112" t="s"/>
      <x:c r="J73" s="87" t="s"/>
      <x:c r="K73" s="87" t="s"/>
      <x:c r="L73" s="97" t="s"/>
      <x:c r="M73" s="81">
        <x:f>IF(COUNTBLANK(H73:K73)=0,1,0)</x:f>
      </x:c>
      <x:c r="N73" s="84">
        <x:f>SUM(M71:M74)</x:f>
      </x:c>
      <x:c r="O73" s="89">
        <x:f>IF(COUNTIF(L71:L74,"&gt;=0"),ROUND(AVERAGEIF(L71:L74,"&gt;=0"),3),0)</x:f>
      </x:c>
    </x:row>
    <x:row r="74" spans="1:87" customFormat="1" ht="16.15" customHeight="1" thickBot="1" x14ac:dyDescent="0.55000000000000004">
      <x:c r="A74" s="117">
        <x:f>IF(O74=0,"",_xlfn.FLOOR.MATH(RANK(N74,$N$11:$N$131)/4+1+SUMPRODUCT(-(-($N$11:$N$131=N74)),-(-(O74&lt;$O$11:$O$131)))/4))</x:f>
      </x:c>
      <x:c r="B74" s="74" t="s">
        <x:v>89</x:v>
      </x:c>
      <x:c r="C74" s="74" t="n">
        <x:v>4</x:v>
      </x:c>
      <x:c r="D74" s="107" t="s"/>
      <x:c r="E74" s="108" t="s"/>
      <x:c r="F74" s="109" t="s"/>
      <x:c r="G74" s="90">
        <x:f>IF($G$9&lt;&gt;"",$G$9,"")</x:f>
      </x:c>
      <x:c r="H74" s="113" t="s"/>
      <x:c r="I74" s="113" t="s"/>
      <x:c r="J74" s="91" t="s"/>
      <x:c r="K74" s="91" t="s"/>
      <x:c r="L74" s="93" t="s"/>
      <x:c r="M74" s="81">
        <x:f>IF(COUNTBLANK(H74:K74)=0,1,0)</x:f>
      </x:c>
      <x:c r="N74" s="94">
        <x:f>SUM(M71:M74)</x:f>
      </x:c>
      <x:c r="O74" s="95">
        <x:f>IF(COUNTIF(L71:L74,"&gt;=0"),ROUND(AVERAGEIF(L71:L74,"&gt;=0"),3),0)</x:f>
      </x:c>
    </x:row>
  </x:sheetData>
  <x:sheetProtection algorithmName="SHA-512" hashValue="ziR5+TICQrF5dpPaiHaEW68p54ZbHnvG+yA4r74Q54OlUf9bUk3fZyld+i6piypIuZW0kso7G+mBQi47SAnKtw==" saltValue="wAlLCUQJp/fUm4mxHOI6VA==" spinCount="100000" sheet="1" insertRows="0" deleteRows="0"/>
  <x:mergeCells count="3">
    <x:mergeCell ref="B1:C1"/>
    <x:mergeCell ref="B2:C2"/>
    <x:mergeCell ref="B3:C3"/>
  </x:mergeCells>
  <x:conditionalFormatting sqref="K71:K72">
    <x:cfRule type="expression" dxfId="3" priority="1" operator="equal">
      <x:formula>COUNTBLANK(G71:G71)=0</x:formula>
    </x:cfRule>
  </x:conditionalFormatting>
  <x:conditionalFormatting sqref="H73:K74">
    <x:cfRule type="expression" priority="2" stopIfTrue="1" operator="equal">
      <x:formula>COUNTBLANK($G73)=1</x:formula>
    </x:cfRule>
    <x:cfRule type="containsBlanks" dxfId="0" priority="3">
      <x:formula>LEN(TRIM(H73))=0</x:formula>
    </x:cfRule>
  </x:conditionalFormatting>
  <x:conditionalFormatting sqref="K67:K68">
    <x:cfRule type="expression" dxfId="3" priority="4" operator="equal">
      <x:formula>COUNTBLANK(G67:G67)=0</x:formula>
    </x:cfRule>
  </x:conditionalFormatting>
  <x:conditionalFormatting sqref="H69:K70">
    <x:cfRule type="expression" priority="5" stopIfTrue="1" operator="equal">
      <x:formula>COUNTBLANK($G69)=1</x:formula>
    </x:cfRule>
    <x:cfRule type="containsBlanks" dxfId="0" priority="6">
      <x:formula>LEN(TRIM(H69))=0</x:formula>
    </x:cfRule>
  </x:conditionalFormatting>
  <x:conditionalFormatting sqref="K63:K64">
    <x:cfRule type="expression" dxfId="3" priority="7" operator="equal">
      <x:formula>COUNTBLANK(G63:G63)=0</x:formula>
    </x:cfRule>
  </x:conditionalFormatting>
  <x:conditionalFormatting sqref="H65:K66">
    <x:cfRule type="expression" priority="8" stopIfTrue="1" operator="equal">
      <x:formula>COUNTBLANK($G65)=1</x:formula>
    </x:cfRule>
    <x:cfRule type="containsBlanks" dxfId="0" priority="9">
      <x:formula>LEN(TRIM(H65))=0</x:formula>
    </x:cfRule>
  </x:conditionalFormatting>
  <x:conditionalFormatting sqref="K59:K60">
    <x:cfRule type="expression" dxfId="3" priority="10" operator="equal">
      <x:formula>COUNTBLANK(G59:G59)=0</x:formula>
    </x:cfRule>
  </x:conditionalFormatting>
  <x:conditionalFormatting sqref="H61:K62">
    <x:cfRule type="expression" priority="11" stopIfTrue="1" operator="equal">
      <x:formula>COUNTBLANK($G61)=1</x:formula>
    </x:cfRule>
    <x:cfRule type="containsBlanks" dxfId="0" priority="12">
      <x:formula>LEN(TRIM(H61))=0</x:formula>
    </x:cfRule>
  </x:conditionalFormatting>
  <x:conditionalFormatting sqref="K55:K56">
    <x:cfRule type="expression" dxfId="3" priority="13" operator="equal">
      <x:formula>COUNTBLANK(G55:G55)=0</x:formula>
    </x:cfRule>
  </x:conditionalFormatting>
  <x:conditionalFormatting sqref="H57:K58">
    <x:cfRule type="expression" priority="14" stopIfTrue="1" operator="equal">
      <x:formula>COUNTBLANK($G57)=1</x:formula>
    </x:cfRule>
    <x:cfRule type="containsBlanks" dxfId="0" priority="15">
      <x:formula>LEN(TRIM(H57))=0</x:formula>
    </x:cfRule>
  </x:conditionalFormatting>
  <x:conditionalFormatting sqref="K51:K52">
    <x:cfRule type="expression" dxfId="3" priority="16" operator="equal">
      <x:formula>COUNTBLANK(G51:G51)=0</x:formula>
    </x:cfRule>
  </x:conditionalFormatting>
  <x:conditionalFormatting sqref="H53:K54">
    <x:cfRule type="expression" priority="17" stopIfTrue="1" operator="equal">
      <x:formula>COUNTBLANK($G53)=1</x:formula>
    </x:cfRule>
    <x:cfRule type="containsBlanks" dxfId="0" priority="18">
      <x:formula>LEN(TRIM(H53))=0</x:formula>
    </x:cfRule>
  </x:conditionalFormatting>
  <x:conditionalFormatting sqref="K47:K48">
    <x:cfRule type="expression" dxfId="3" priority="19" operator="equal">
      <x:formula>COUNTBLANK(G47:G47)=0</x:formula>
    </x:cfRule>
  </x:conditionalFormatting>
  <x:conditionalFormatting sqref="H49:K50">
    <x:cfRule type="expression" priority="20" stopIfTrue="1" operator="equal">
      <x:formula>COUNTBLANK($G49)=1</x:formula>
    </x:cfRule>
    <x:cfRule type="containsBlanks" dxfId="0" priority="21">
      <x:formula>LEN(TRIM(H49))=0</x:formula>
    </x:cfRule>
  </x:conditionalFormatting>
  <x:conditionalFormatting sqref="K43:K44">
    <x:cfRule type="expression" dxfId="3" priority="22" operator="equal">
      <x:formula>COUNTBLANK(G43:G43)=0</x:formula>
    </x:cfRule>
  </x:conditionalFormatting>
  <x:conditionalFormatting sqref="H45:K46">
    <x:cfRule type="expression" priority="23" stopIfTrue="1" operator="equal">
      <x:formula>COUNTBLANK($G45)=1</x:formula>
    </x:cfRule>
    <x:cfRule type="containsBlanks" dxfId="0" priority="24">
      <x:formula>LEN(TRIM(H45))=0</x:formula>
    </x:cfRule>
  </x:conditionalFormatting>
  <x:conditionalFormatting sqref="K39:K40">
    <x:cfRule type="expression" dxfId="3" priority="25" operator="equal">
      <x:formula>COUNTBLANK(G39:G39)=0</x:formula>
    </x:cfRule>
  </x:conditionalFormatting>
  <x:conditionalFormatting sqref="H41:K42">
    <x:cfRule type="expression" priority="26" stopIfTrue="1" operator="equal">
      <x:formula>COUNTBLANK($G41)=1</x:formula>
    </x:cfRule>
    <x:cfRule type="containsBlanks" dxfId="0" priority="27">
      <x:formula>LEN(TRIM(H41))=0</x:formula>
    </x:cfRule>
  </x:conditionalFormatting>
  <x:conditionalFormatting sqref="K35:K36">
    <x:cfRule type="expression" dxfId="3" priority="28" operator="equal">
      <x:formula>COUNTBLANK(G35:G35)=0</x:formula>
    </x:cfRule>
  </x:conditionalFormatting>
  <x:conditionalFormatting sqref="H37:K38">
    <x:cfRule type="expression" priority="29" stopIfTrue="1" operator="equal">
      <x:formula>COUNTBLANK($G37)=1</x:formula>
    </x:cfRule>
    <x:cfRule type="containsBlanks" dxfId="0" priority="30">
      <x:formula>LEN(TRIM(H37))=0</x:formula>
    </x:cfRule>
  </x:conditionalFormatting>
  <x:conditionalFormatting sqref="K31:K32">
    <x:cfRule type="expression" dxfId="3" priority="31" operator="equal">
      <x:formula>COUNTBLANK(G31:G31)=0</x:formula>
    </x:cfRule>
  </x:conditionalFormatting>
  <x:conditionalFormatting sqref="H33:K34">
    <x:cfRule type="expression" priority="32" stopIfTrue="1" operator="equal">
      <x:formula>COUNTBLANK($G33)=1</x:formula>
    </x:cfRule>
    <x:cfRule type="containsBlanks" dxfId="0" priority="33">
      <x:formula>LEN(TRIM(H33))=0</x:formula>
    </x:cfRule>
  </x:conditionalFormatting>
  <x:conditionalFormatting sqref="K27:K28">
    <x:cfRule type="expression" dxfId="3" priority="34" operator="equal">
      <x:formula>COUNTBLANK(G27:G27)=0</x:formula>
    </x:cfRule>
  </x:conditionalFormatting>
  <x:conditionalFormatting sqref="H29:K30">
    <x:cfRule type="expression" priority="35" stopIfTrue="1" operator="equal">
      <x:formula>COUNTBLANK($G29)=1</x:formula>
    </x:cfRule>
    <x:cfRule type="containsBlanks" dxfId="0" priority="36">
      <x:formula>LEN(TRIM(H29))=0</x:formula>
    </x:cfRule>
  </x:conditionalFormatting>
  <x:conditionalFormatting sqref="K23:K24">
    <x:cfRule type="expression" dxfId="3" priority="37" operator="equal">
      <x:formula>COUNTBLANK(G23:G23)=0</x:formula>
    </x:cfRule>
  </x:conditionalFormatting>
  <x:conditionalFormatting sqref="H25:K26">
    <x:cfRule type="expression" priority="38" stopIfTrue="1" operator="equal">
      <x:formula>COUNTBLANK($G25)=1</x:formula>
    </x:cfRule>
    <x:cfRule type="containsBlanks" dxfId="0" priority="39">
      <x:formula>LEN(TRIM(H25))=0</x:formula>
    </x:cfRule>
  </x:conditionalFormatting>
  <x:conditionalFormatting sqref="K19:K20">
    <x:cfRule type="expression" dxfId="3" priority="40" operator="equal">
      <x:formula>COUNTBLANK(G19:G19)=0</x:formula>
    </x:cfRule>
  </x:conditionalFormatting>
  <x:conditionalFormatting sqref="H21:K22">
    <x:cfRule type="expression" priority="41" stopIfTrue="1" operator="equal">
      <x:formula>COUNTBLANK($G21)=1</x:formula>
    </x:cfRule>
    <x:cfRule type="containsBlanks" dxfId="0" priority="42">
      <x:formula>LEN(TRIM(H21))=0</x:formula>
    </x:cfRule>
  </x:conditionalFormatting>
  <x:conditionalFormatting sqref="K15:K16">
    <x:cfRule type="expression" dxfId="3" priority="43" operator="equal">
      <x:formula>COUNTBLANK(G15:G15)=0</x:formula>
    </x:cfRule>
  </x:conditionalFormatting>
  <x:conditionalFormatting sqref="H17:K18">
    <x:cfRule type="expression" priority="44" stopIfTrue="1" operator="equal">
      <x:formula>COUNTBLANK($G17)=1</x:formula>
    </x:cfRule>
    <x:cfRule type="containsBlanks" dxfId="0" priority="45">
      <x:formula>LEN(TRIM(H17))=0</x:formula>
    </x:cfRule>
  </x:conditionalFormatting>
  <x:conditionalFormatting sqref="K11:K12">
    <x:cfRule type="expression" dxfId="3" priority="46" operator="equal">
      <x:formula>COUNTBLANK(G11:G11)=0</x:formula>
    </x:cfRule>
  </x:conditionalFormatting>
  <x:conditionalFormatting sqref="H13:K14">
    <x:cfRule type="expression" priority="47" stopIfTrue="1" operator="equal">
      <x:formula>COUNTBLANK($G13)=1</x:formula>
    </x:cfRule>
    <x:cfRule type="containsBlanks" dxfId="0" priority="48">
      <x:formula>LEN(TRIM(H13))=0</x:formula>
    </x:cfRule>
  </x:conditionalFormatting>
  <x:conditionalFormatting sqref="J71:J72">
    <x:cfRule type="expression" dxfId="4" priority="49" operator="equal">
      <x:formula>COUNTBLANK(F71:F71)=0</x:formula>
    </x:cfRule>
  </x:conditionalFormatting>
  <x:conditionalFormatting sqref="H71:I72">
    <x:cfRule type="expression" priority="50" stopIfTrue="1" operator="equal">
      <x:formula>COUNTBLANK($G71)=1</x:formula>
    </x:cfRule>
    <x:cfRule type="containsBlanks" dxfId="0" priority="51">
      <x:formula>LEN(TRIM(H71))=0</x:formula>
    </x:cfRule>
  </x:conditionalFormatting>
  <x:conditionalFormatting sqref="J67:J68">
    <x:cfRule type="expression" dxfId="4" priority="52" operator="equal">
      <x:formula>COUNTBLANK(F67:F67)=0</x:formula>
    </x:cfRule>
  </x:conditionalFormatting>
  <x:conditionalFormatting sqref="H67:I68">
    <x:cfRule type="expression" priority="53" stopIfTrue="1" operator="equal">
      <x:formula>COUNTBLANK($G67)=1</x:formula>
    </x:cfRule>
    <x:cfRule type="containsBlanks" dxfId="0" priority="54">
      <x:formula>LEN(TRIM(H67))=0</x:formula>
    </x:cfRule>
  </x:conditionalFormatting>
  <x:conditionalFormatting sqref="J63:J64">
    <x:cfRule type="expression" dxfId="4" priority="55" operator="equal">
      <x:formula>COUNTBLANK(F63:F63)=0</x:formula>
    </x:cfRule>
  </x:conditionalFormatting>
  <x:conditionalFormatting sqref="H63:I64">
    <x:cfRule type="expression" priority="56" stopIfTrue="1" operator="equal">
      <x:formula>COUNTBLANK($G63)=1</x:formula>
    </x:cfRule>
    <x:cfRule type="containsBlanks" dxfId="0" priority="57">
      <x:formula>LEN(TRIM(H63))=0</x:formula>
    </x:cfRule>
  </x:conditionalFormatting>
  <x:conditionalFormatting sqref="J59:J60">
    <x:cfRule type="expression" dxfId="4" priority="58" operator="equal">
      <x:formula>COUNTBLANK(F59:F59)=0</x:formula>
    </x:cfRule>
  </x:conditionalFormatting>
  <x:conditionalFormatting sqref="H59:I60">
    <x:cfRule type="expression" priority="59" stopIfTrue="1" operator="equal">
      <x:formula>COUNTBLANK($G59)=1</x:formula>
    </x:cfRule>
    <x:cfRule type="containsBlanks" dxfId="0" priority="60">
      <x:formula>LEN(TRIM(H59))=0</x:formula>
    </x:cfRule>
  </x:conditionalFormatting>
  <x:conditionalFormatting sqref="J55:J56">
    <x:cfRule type="expression" dxfId="4" priority="61" operator="equal">
      <x:formula>COUNTBLANK(F55:F55)=0</x:formula>
    </x:cfRule>
  </x:conditionalFormatting>
  <x:conditionalFormatting sqref="H55:I56">
    <x:cfRule type="expression" priority="62" stopIfTrue="1" operator="equal">
      <x:formula>COUNTBLANK($G55)=1</x:formula>
    </x:cfRule>
    <x:cfRule type="containsBlanks" dxfId="0" priority="63">
      <x:formula>LEN(TRIM(H55))=0</x:formula>
    </x:cfRule>
  </x:conditionalFormatting>
  <x:conditionalFormatting sqref="J51:J52">
    <x:cfRule type="expression" dxfId="4" priority="64" operator="equal">
      <x:formula>COUNTBLANK(F51:F51)=0</x:formula>
    </x:cfRule>
  </x:conditionalFormatting>
  <x:conditionalFormatting sqref="H51:I52">
    <x:cfRule type="expression" priority="65" stopIfTrue="1" operator="equal">
      <x:formula>COUNTBLANK($G51)=1</x:formula>
    </x:cfRule>
    <x:cfRule type="containsBlanks" dxfId="0" priority="66">
      <x:formula>LEN(TRIM(H51))=0</x:formula>
    </x:cfRule>
  </x:conditionalFormatting>
  <x:conditionalFormatting sqref="J47:J48">
    <x:cfRule type="expression" dxfId="4" priority="67" operator="equal">
      <x:formula>COUNTBLANK(F47:F47)=0</x:formula>
    </x:cfRule>
  </x:conditionalFormatting>
  <x:conditionalFormatting sqref="H47:I48">
    <x:cfRule type="expression" priority="68" stopIfTrue="1" operator="equal">
      <x:formula>COUNTBLANK($G47)=1</x:formula>
    </x:cfRule>
    <x:cfRule type="containsBlanks" dxfId="0" priority="69">
      <x:formula>LEN(TRIM(H47))=0</x:formula>
    </x:cfRule>
  </x:conditionalFormatting>
  <x:conditionalFormatting sqref="J43:J44">
    <x:cfRule type="expression" dxfId="4" priority="70" operator="equal">
      <x:formula>COUNTBLANK(F43:F43)=0</x:formula>
    </x:cfRule>
  </x:conditionalFormatting>
  <x:conditionalFormatting sqref="H43:I44">
    <x:cfRule type="expression" priority="71" stopIfTrue="1" operator="equal">
      <x:formula>COUNTBLANK($G43)=1</x:formula>
    </x:cfRule>
    <x:cfRule type="containsBlanks" dxfId="0" priority="72">
      <x:formula>LEN(TRIM(H43))=0</x:formula>
    </x:cfRule>
  </x:conditionalFormatting>
  <x:conditionalFormatting sqref="J39:J40">
    <x:cfRule type="expression" dxfId="4" priority="73" operator="equal">
      <x:formula>COUNTBLANK(F39:F39)=0</x:formula>
    </x:cfRule>
  </x:conditionalFormatting>
  <x:conditionalFormatting sqref="H39:I40">
    <x:cfRule type="expression" priority="74" stopIfTrue="1" operator="equal">
      <x:formula>COUNTBLANK($G39)=1</x:formula>
    </x:cfRule>
    <x:cfRule type="containsBlanks" dxfId="0" priority="75">
      <x:formula>LEN(TRIM(H39))=0</x:formula>
    </x:cfRule>
  </x:conditionalFormatting>
  <x:conditionalFormatting sqref="J35:J36">
    <x:cfRule type="expression" dxfId="4" priority="76" operator="equal">
      <x:formula>COUNTBLANK(F35:F35)=0</x:formula>
    </x:cfRule>
  </x:conditionalFormatting>
  <x:conditionalFormatting sqref="H35:I36">
    <x:cfRule type="expression" priority="77" stopIfTrue="1" operator="equal">
      <x:formula>COUNTBLANK($G35)=1</x:formula>
    </x:cfRule>
    <x:cfRule type="containsBlanks" dxfId="0" priority="78">
      <x:formula>LEN(TRIM(H35))=0</x:formula>
    </x:cfRule>
  </x:conditionalFormatting>
  <x:conditionalFormatting sqref="J31:J32">
    <x:cfRule type="expression" dxfId="4" priority="79" operator="equal">
      <x:formula>COUNTBLANK(F31:F31)=0</x:formula>
    </x:cfRule>
  </x:conditionalFormatting>
  <x:conditionalFormatting sqref="H31:I32">
    <x:cfRule type="expression" priority="80" stopIfTrue="1" operator="equal">
      <x:formula>COUNTBLANK($G31)=1</x:formula>
    </x:cfRule>
    <x:cfRule type="containsBlanks" dxfId="0" priority="81">
      <x:formula>LEN(TRIM(H31))=0</x:formula>
    </x:cfRule>
  </x:conditionalFormatting>
  <x:conditionalFormatting sqref="J27:J28">
    <x:cfRule type="expression" dxfId="4" priority="82" operator="equal">
      <x:formula>COUNTBLANK(F27:F27)=0</x:formula>
    </x:cfRule>
  </x:conditionalFormatting>
  <x:conditionalFormatting sqref="H27:I28">
    <x:cfRule type="expression" priority="83" stopIfTrue="1" operator="equal">
      <x:formula>COUNTBLANK($G27)=1</x:formula>
    </x:cfRule>
    <x:cfRule type="containsBlanks" dxfId="0" priority="84">
      <x:formula>LEN(TRIM(H27))=0</x:formula>
    </x:cfRule>
  </x:conditionalFormatting>
  <x:conditionalFormatting sqref="J23:J24">
    <x:cfRule type="expression" dxfId="4" priority="85" operator="equal">
      <x:formula>COUNTBLANK(F23:F23)=0</x:formula>
    </x:cfRule>
  </x:conditionalFormatting>
  <x:conditionalFormatting sqref="H23:I24">
    <x:cfRule type="expression" priority="86" stopIfTrue="1" operator="equal">
      <x:formula>COUNTBLANK($G23)=1</x:formula>
    </x:cfRule>
    <x:cfRule type="containsBlanks" dxfId="0" priority="87">
      <x:formula>LEN(TRIM(H23))=0</x:formula>
    </x:cfRule>
  </x:conditionalFormatting>
  <x:conditionalFormatting sqref="J19:J20">
    <x:cfRule type="expression" dxfId="4" priority="88" operator="equal">
      <x:formula>COUNTBLANK(F19:F19)=0</x:formula>
    </x:cfRule>
  </x:conditionalFormatting>
  <x:conditionalFormatting sqref="H19:I20">
    <x:cfRule type="expression" priority="89" stopIfTrue="1" operator="equal">
      <x:formula>COUNTBLANK($G19)=1</x:formula>
    </x:cfRule>
    <x:cfRule type="containsBlanks" dxfId="0" priority="90">
      <x:formula>LEN(TRIM(H19))=0</x:formula>
    </x:cfRule>
  </x:conditionalFormatting>
  <x:conditionalFormatting sqref="J15:J16">
    <x:cfRule type="expression" dxfId="4" priority="91" operator="equal">
      <x:formula>COUNTBLANK(F15:F15)=0</x:formula>
    </x:cfRule>
  </x:conditionalFormatting>
  <x:conditionalFormatting sqref="H15:I16">
    <x:cfRule type="expression" priority="92" stopIfTrue="1" operator="equal">
      <x:formula>COUNTBLANK($G15)=1</x:formula>
    </x:cfRule>
    <x:cfRule type="containsBlanks" dxfId="0" priority="93">
      <x:formula>LEN(TRIM(H15))=0</x:formula>
    </x:cfRule>
  </x:conditionalFormatting>
  <x:conditionalFormatting sqref="J11:J12">
    <x:cfRule type="expression" dxfId="4" priority="94" operator="equal">
      <x:formula>COUNTBLANK(F11:F11)=0</x:formula>
    </x:cfRule>
  </x:conditionalFormatting>
  <x:conditionalFormatting sqref="H11:I12">
    <x:cfRule type="expression" priority="95" stopIfTrue="1" operator="equal">
      <x:formula>COUNTBLANK($G11)=1</x:formula>
    </x:cfRule>
    <x:cfRule type="containsBlanks" dxfId="0" priority="96">
      <x:formula>LEN(TRIM(H11))=0</x:formula>
    </x:cfRule>
  </x:conditionalFormatting>
  <x:dataValidations count="2">
    <x:dataValidation type="decimal" errorStyle="stop" operator="between" allowBlank="1" showDropDown="0" showInputMessage="1" showErrorMessage="1" errorTitle="Illegal input value" error="Please enter a value between 0 and 10" promptTitle="" prompt="" sqref="H11:N74">
      <x:formula1>-0.000001</x:formula1>
      <x:formula2>10</x:formula2>
    </x:dataValidation>
    <x:dataValidation type="decimal" errorStyle="stop" operator="between" allowBlank="1" showDropDown="0" showInputMessage="1" showErrorMessage="1" errorTitle="" error="" promptTitle="" prompt="" sqref="O12:O14 O16:O18 O20:O22 O24:O26 O28:O30 O32:O34 O36:O38 O40:O42 O44:O46 O48:O50 O52:O54 O56:O58 O60:O62 O64:O66 O68:O70 O72:O74">
      <x:formula1>0</x:formula1>
      <x:formula2>10</x:formula2>
    </x:dataValidation>
  </x:dataValidations>
  <x:printOptions horizontalCentered="0" verticalCentered="0" headings="0" gridLines="0"/>
  <x:pageMargins left="0.70866141732283472" right="0.70866141732283472" top="0.74803149606299213" bottom="0.74803149606299213" header="0.31496062992125984" footer="0.31496062992125984"/>
  <x:pageSetup paperSize="9" pageOrder="downThenOver" orientation="portrait" blackAndWhite="0" draft="0" cellComments="none" errors="displayed" r:id="rId1"/>
  <x:headerFooter differentOddEven="0" differentFirst="0" scaleWithDoc="1" alignWithMargins="1">
    <x:oddHeader>&amp;C&amp;"-,Fet"&amp;22Resultat Lätt klass individuell - Trähäst&amp;RVer.2019-06-01</x:oddHeader>
    <x:oddFooter>&amp;LGrund och Kür
A: 
B: </x:oddFooter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>
    <x:tabColor rgb="FF92D050"/>
    <x:outlinePr summaryBelow="1" summaryRight="1"/>
    <x:pageSetUpPr fitToPage="1"/>
  </x:sheetPr>
  <x:dimension ref="A1:N70"/>
  <x:sheetViews>
    <x:sheetView zoomScale="70" zoomScalePageLayoutView="70" workbookViewId="0">
      <x:selection activeCell="F1" sqref="F1"/>
    </x:sheetView>
  </x:sheetViews>
  <x:sheetFormatPr defaultColWidth="11.464844" defaultRowHeight="15.75" x14ac:dyDescent="0.5"/>
  <x:cols>
    <x:col min="1" max="1" width="11.464844" style="99" customWidth="1"/>
    <x:col min="2" max="3" width="11.464844" style="99" hidden="1" customWidth="1"/>
    <x:col min="4" max="4" width="27.53125" style="100" customWidth="1"/>
    <x:col min="5" max="5" width="7.199219" style="99" customWidth="1"/>
    <x:col min="6" max="6" width="28.265625" style="99" customWidth="1"/>
    <x:col min="7" max="11" width="11.464844" style="99" customWidth="1"/>
    <x:col min="12" max="13" width="11.464844" style="99" hidden="1" customWidth="1"/>
    <x:col min="14" max="14" width="36.796875" style="99" customWidth="1"/>
    <x:col min="15" max="16384" width="11.464844" style="34" customWidth="1"/>
  </x:cols>
  <x:sheetData>
    <x:row r="1" spans="1:86" s="0" customFormat="1" x14ac:dyDescent="0.5">
      <x:c r="A1" s="33" t="s">
        <x:v>77</x:v>
      </x:c>
      <x:c r="B1" s="83" t="s"/>
      <x:c r="C1" s="83" t="s"/>
      <x:c r="D1" s="98" t="s"/>
      <x:c r="E1" s="0" t="s"/>
      <x:c r="F1" s="0" t="s"/>
      <x:c r="G1" s="0" t="s"/>
      <x:c r="H1" s="0" t="s"/>
      <x:c r="I1" s="0" t="s"/>
      <x:c r="J1" s="0" t="s"/>
      <x:c r="K1" s="0" t="s"/>
      <x:c r="L1" s="0" t="s"/>
      <x:c r="M1" s="0" t="s"/>
      <x:c r="N1" s="0" t="s"/>
      <x:c r="O1" s="0" t="s"/>
      <x:c r="P1" s="0" t="s"/>
      <x:c r="Q1" s="0" t="s"/>
      <x:c r="R1" s="0" t="s"/>
      <x:c r="S1" s="0" t="s"/>
      <x:c r="T1" s="0" t="s"/>
      <x:c r="U1" s="0" t="s"/>
      <x:c r="V1" s="0" t="s"/>
      <x:c r="W1" s="0" t="s"/>
      <x:c r="X1" s="0" t="s"/>
      <x:c r="Y1" s="0" t="s"/>
      <x:c r="Z1" s="0" t="s"/>
      <x:c r="AA1" s="0" t="s"/>
      <x:c r="AB1" s="0" t="s"/>
      <x:c r="AC1" s="0" t="s"/>
      <x:c r="AD1" s="0" t="s"/>
      <x:c r="AE1" s="0" t="s"/>
      <x:c r="AF1" s="0" t="s"/>
      <x:c r="AG1" s="0" t="s"/>
      <x:c r="AH1" s="0" t="s"/>
      <x:c r="AI1" s="0" t="s"/>
      <x:c r="AJ1" s="0" t="s"/>
      <x:c r="AK1" s="0" t="s"/>
      <x:c r="AL1" s="0" t="s"/>
      <x:c r="AM1" s="0" t="s"/>
      <x:c r="AN1" s="0" t="s"/>
      <x:c r="AO1" s="0" t="s"/>
      <x:c r="AP1" s="0" t="s"/>
      <x:c r="AQ1" s="0" t="s"/>
      <x:c r="AR1" s="0" t="s"/>
      <x:c r="AS1" s="0" t="s"/>
      <x:c r="AT1" s="0" t="s"/>
      <x:c r="AU1" s="0" t="s"/>
      <x:c r="AV1" s="0" t="s"/>
      <x:c r="AW1" s="0" t="s"/>
      <x:c r="AX1" s="0" t="s"/>
      <x:c r="AY1" s="0" t="s"/>
      <x:c r="AZ1" s="0" t="s"/>
      <x:c r="BA1" s="0" t="s"/>
      <x:c r="BB1" s="0" t="s"/>
      <x:c r="BC1" s="0" t="s"/>
      <x:c r="BD1" s="0" t="s"/>
      <x:c r="BE1" s="0" t="s"/>
      <x:c r="BF1" s="0" t="s"/>
      <x:c r="BG1" s="0" t="s"/>
      <x:c r="BH1" s="0" t="s"/>
      <x:c r="BI1" s="0" t="s"/>
      <x:c r="BJ1" s="0" t="s"/>
      <x:c r="BK1" s="0" t="s"/>
      <x:c r="BL1" s="0" t="s"/>
      <x:c r="BM1" s="0" t="s"/>
      <x:c r="BN1" s="0" t="s"/>
      <x:c r="BO1" s="0" t="s"/>
      <x:c r="BP1" s="0" t="s"/>
      <x:c r="BQ1" s="0" t="s"/>
      <x:c r="BR1" s="0" t="s"/>
      <x:c r="BS1" s="0" t="s"/>
      <x:c r="BT1" s="0" t="s"/>
      <x:c r="BU1" s="0" t="s"/>
      <x:c r="BV1" s="0" t="s"/>
      <x:c r="BW1" s="0" t="s"/>
      <x:c r="BX1" s="0" t="s"/>
      <x:c r="BY1" s="0" t="s"/>
      <x:c r="BZ1" s="0" t="s"/>
      <x:c r="CA1" s="0" t="s"/>
      <x:c r="CB1" s="0" t="s"/>
      <x:c r="CC1" s="0" t="s"/>
      <x:c r="CD1" s="0" t="s"/>
      <x:c r="CE1" s="0" t="s"/>
      <x:c r="CF1" s="0" t="s"/>
      <x:c r="CG1" s="0" t="s"/>
      <x:c r="CH1" s="0" t="s"/>
    </x:row>
    <x:row r="2" spans="1:86" x14ac:dyDescent="0.5">
      <x:c r="A2" s="33" t="s">
        <x:v>78</x:v>
      </x:c>
      <x:c r="B2" s="269" t="s"/>
      <x:c r="C2" s="269" t="s"/>
      <x:c r="D2" s="98" t="s"/>
    </x:row>
    <x:row r="3" spans="1:86" x14ac:dyDescent="0.5">
      <x:c r="A3" s="33" t="s">
        <x:v>79</x:v>
      </x:c>
      <x:c r="B3" s="83" t="s"/>
      <x:c r="C3" s="83" t="s"/>
      <x:c r="D3" s="98" t="s"/>
    </x:row>
    <x:row r="4" spans="1:86" customFormat="1" ht="16.15" customHeight="1" thickBot="1" x14ac:dyDescent="0.55000000000000004">
      <x:c r="A4" s="34" t="s"/>
      <x:c r="B4" s="34" t="s"/>
      <x:c r="C4" s="34" t="s"/>
    </x:row>
    <x:row r="5" spans="1:86" x14ac:dyDescent="0.5">
      <x:c r="A5" s="280" t="s"/>
      <x:c r="B5" s="281" t="s"/>
      <x:c r="C5" s="281" t="s"/>
      <x:c r="D5" s="282" t="s"/>
      <x:c r="E5" s="283" t="s"/>
      <x:c r="F5" s="284" t="s"/>
      <x:c r="G5" s="285" t="s"/>
      <x:c r="H5" s="285" t="s">
        <x:v>81</x:v>
      </x:c>
      <x:c r="I5" s="285" t="s">
        <x:v>82</x:v>
      </x:c>
      <x:c r="J5" s="285" t="s">
        <x:v>83</x:v>
      </x:c>
      <x:c r="K5" s="287" t="s"/>
      <x:c r="L5" s="288" t="s"/>
      <x:c r="M5" s="288" t="s"/>
      <x:c r="N5" s="289" t="s"/>
    </x:row>
    <x:row r="6" spans="1:86" x14ac:dyDescent="0.5">
      <x:c r="A6" s="290" t="s">
        <x:v>84</x:v>
      </x:c>
      <x:c r="B6" s="291" t="s"/>
      <x:c r="C6" s="291" t="s"/>
      <x:c r="D6" s="291" t="s">
        <x:v>85</x:v>
      </x:c>
      <x:c r="E6" s="292" t="s"/>
      <x:c r="F6" s="293" t="s">
        <x:v>86</x:v>
      </x:c>
      <x:c r="G6" s="294" t="s">
        <x:v>30</x:v>
      </x:c>
      <x:c r="H6" s="295" t="s">
        <x:v>30</x:v>
      </x:c>
      <x:c r="I6" s="295" t="s">
        <x:v>30</x:v>
      </x:c>
      <x:c r="J6" s="295" t="s">
        <x:v>30</x:v>
      </x:c>
      <x:c r="K6" s="296" t="s">
        <x:v>87</x:v>
      </x:c>
      <x:c r="L6" s="297" t="s"/>
      <x:c r="M6" s="297" t="s"/>
      <x:c r="N6" s="298" t="s"/>
    </x:row>
    <x:row r="7" spans="1:86" x14ac:dyDescent="0.5">
      <x:c r="A7" s="299" t="s"/>
      <x:c r="B7" s="300" t="s"/>
      <x:c r="C7" s="300" t="s"/>
      <x:c r="D7" s="301" t="s"/>
      <x:c r="E7" s="302" t="s"/>
      <x:c r="F7" s="293" t="s"/>
      <x:c r="G7" s="295" t="s">
        <x:v>10</x:v>
      </x:c>
      <x:c r="H7" s="295" t="s">
        <x:v>90</x:v>
      </x:c>
      <x:c r="I7" s="295" t="s">
        <x:v>91</x:v>
      </x:c>
      <x:c r="J7" s="295" t="s">
        <x:v>90</x:v>
      </x:c>
      <x:c r="K7" s="296" t="s">
        <x:v>88</x:v>
      </x:c>
      <x:c r="L7" s="297" t="s"/>
      <x:c r="M7" s="297" t="s"/>
      <x:c r="N7" s="298" t="s">
        <x:v>87</x:v>
      </x:c>
    </x:row>
    <x:row r="8" spans="1:86" x14ac:dyDescent="0.5">
      <x:c r="A8" s="299" t="s"/>
      <x:c r="B8" s="300" t="s"/>
      <x:c r="C8" s="300" t="s"/>
      <x:c r="D8" s="291" t="s"/>
      <x:c r="E8" s="302" t="s"/>
      <x:c r="F8" s="303" t="s"/>
      <x:c r="G8" s="315" t="s"/>
      <x:c r="H8" s="315" t="s"/>
      <x:c r="I8" s="315" t="s"/>
      <x:c r="J8" s="315" t="s"/>
      <x:c r="K8" s="296" t="s"/>
      <x:c r="L8" s="297" t="s"/>
      <x:c r="M8" s="297" t="s"/>
      <x:c r="N8" s="298" t="s"/>
    </x:row>
    <x:row r="9" spans="1:86" customFormat="1" ht="16.15" customHeight="1" thickBot="1" x14ac:dyDescent="0.55000000000000004">
      <x:c r="A9" s="305" t="s"/>
      <x:c r="B9" s="306" t="s"/>
      <x:c r="C9" s="306" t="s"/>
      <x:c r="D9" s="307" t="s"/>
      <x:c r="E9" s="308" t="s"/>
      <x:c r="F9" s="309" t="s"/>
      <x:c r="G9" s="316" t="s"/>
      <x:c r="H9" s="316" t="s"/>
      <x:c r="I9" s="316" t="s"/>
      <x:c r="J9" s="316" t="s"/>
      <x:c r="K9" s="311" t="s"/>
      <x:c r="L9" s="312" t="s"/>
      <x:c r="M9" s="312" t="s"/>
      <x:c r="N9" s="313" t="s"/>
    </x:row>
    <x:row r="10" spans="1:86" customFormat="1" ht="16.15" customHeight="1" thickBot="1" x14ac:dyDescent="0.55000000000000004">
      <x:c r="A10" s="69" t="s"/>
      <x:c r="B10" s="70" t="s"/>
      <x:c r="C10" s="70" t="s"/>
      <x:c r="D10" s="71" t="s"/>
      <x:c r="E10" s="72" t="s"/>
      <x:c r="F10" s="73" t="s"/>
      <x:c r="G10" s="74" t="s"/>
      <x:c r="H10" s="74" t="s"/>
      <x:c r="I10" s="74" t="s"/>
      <x:c r="J10" s="74" t="s"/>
      <x:c r="K10" s="75" t="s"/>
      <x:c r="L10" s="75" t="s"/>
      <x:c r="M10" s="75" t="s"/>
      <x:c r="N10" s="76" t="s"/>
    </x:row>
    <x:row r="11" spans="1:86" customFormat="1" ht="16.15" customHeight="1" thickBot="1" x14ac:dyDescent="0.55000000000000004">
      <x:c r="A11" s="114">
        <x:f>IF(N11=0,"",_xlfn.FLOOR.MATH(RANK(M11,$M$11:$M$131)/4+1+SUMPRODUCT(-(-($M$11:$M$131=M11)),-(-(N11&lt;$N$11:$N$131)))/4))</x:f>
      </x:c>
      <x:c r="B11" s="77" t="s">
        <x:v>92</x:v>
      </x:c>
      <x:c r="C11" s="77" t="n">
        <x:v>1</x:v>
      </x:c>
      <x:c r="D11" s="101" t="s"/>
      <x:c r="E11" s="102" t="s"/>
      <x:c r="F11" s="103" t="s"/>
      <x:c r="G11" s="78">
        <x:f>IF($G$6&lt;&gt;"",$G$6,"")</x:f>
      </x:c>
      <x:c r="H11" s="187" t="s"/>
      <x:c r="I11" s="187" t="s"/>
      <x:c r="J11" s="187" t="s"/>
      <x:c r="K11" s="188">
        <x:f>IF(COUNTBLANK(H11:J11)=0,AVERAGE(H11:J11),-0.000001)</x:f>
      </x:c>
      <x:c r="L11" s="81">
        <x:f>IF(COUNTBLANK(H11:J11)=0,1,0)</x:f>
      </x:c>
      <x:c r="M11" s="81">
        <x:f>SUM(L11:L14)</x:f>
      </x:c>
      <x:c r="N11" s="82">
        <x:f>IF(COUNTIF(K11:K14,"&gt;=0"),ROUND(AVERAGEIF(K11:K14,"&gt;=0"),3),0)</x:f>
      </x:c>
    </x:row>
    <x:row r="12" spans="1:86" customFormat="1" ht="16.15" customHeight="1" thickBot="1" x14ac:dyDescent="0.55000000000000004">
      <x:c r="A12" s="115">
        <x:f>IF(N12=0,"",_xlfn.FLOOR.MATH(RANK(M12,$M$11:$M$131)/4+1+SUMPRODUCT(-(-($M$11:$M$131=M12)),-(-(N12&lt;$N$11:$N$131)))/4))</x:f>
      </x:c>
      <x:c r="B12" s="34" t="s">
        <x:v>92</x:v>
      </x:c>
      <x:c r="C12" s="34" t="n">
        <x:v>2</x:v>
      </x:c>
      <x:c r="D12" s="104" t="s"/>
      <x:c r="E12" s="105" t="s"/>
      <x:c r="F12" s="106" t="s"/>
      <x:c r="G12" s="86">
        <x:f>IF($G$7&lt;&gt;"",$G$7,"")</x:f>
      </x:c>
      <x:c r="H12" s="112" t="s"/>
      <x:c r="I12" s="112" t="s"/>
      <x:c r="J12" s="112" t="s"/>
      <x:c r="K12" s="97">
        <x:f>IF(COUNTBLANK(H12:J12)=0,AVERAGE(H12:J12),-0.000001)</x:f>
      </x:c>
      <x:c r="L12" s="81">
        <x:f>IF(COUNTBLANK(H12:J12)=0,1,0)</x:f>
      </x:c>
      <x:c r="M12" s="84">
        <x:f>SUM(L11:L14)</x:f>
      </x:c>
      <x:c r="N12" s="85">
        <x:f>IF(COUNTIF(K11:K14,"&gt;=0"),ROUND(AVERAGEIF(K11:K14,"&gt;=0"),3),0)</x:f>
      </x:c>
    </x:row>
    <x:row r="13" spans="1:86" customFormat="1" ht="16.15" customHeight="1" thickBot="1" x14ac:dyDescent="0.55000000000000004">
      <x:c r="A13" s="116">
        <x:f>IF(N13=0,"",_xlfn.FLOOR.MATH(RANK(M13,$M$11:$M$131)/4+1+SUMPRODUCT(-(-($M$11:$M$131=M13)),-(-(N13&lt;$N$11:$N$131)))/4))</x:f>
      </x:c>
      <x:c r="B13" s="34" t="s">
        <x:v>92</x:v>
      </x:c>
      <x:c r="C13" s="34" t="n">
        <x:v>3</x:v>
      </x:c>
      <x:c r="E13" s="105" t="s"/>
      <x:c r="G13" s="86">
        <x:f>IF($G$8&lt;&gt;"",$G$8,"")</x:f>
      </x:c>
      <x:c r="H13" s="112" t="s"/>
      <x:c r="I13" s="112" t="s"/>
      <x:c r="J13" s="112" t="s"/>
      <x:c r="K13" s="97" t="s"/>
      <x:c r="L13" s="81">
        <x:f>IF(COUNTBLANK(H13:J13)=0,1,0)</x:f>
      </x:c>
      <x:c r="M13" s="84">
        <x:f>SUM(L11:L14)</x:f>
      </x:c>
      <x:c r="N13" s="89">
        <x:f>IF(COUNTIF(K11:K14,"&gt;=0"),ROUND(AVERAGEIF(K11:K14,"&gt;=0"),3),0)</x:f>
      </x:c>
    </x:row>
    <x:row r="14" spans="1:86" customFormat="1" ht="16.15" customHeight="1" thickBot="1" x14ac:dyDescent="0.55000000000000004">
      <x:c r="A14" s="117">
        <x:f>IF(N14=0,"",_xlfn.FLOOR.MATH(RANK(M14,$M$11:$M$131)/4+1+SUMPRODUCT(-(-($M$11:$M$131=M14)),-(-(N14&lt;$N$11:$N$131)))/4))</x:f>
      </x:c>
      <x:c r="B14" s="74" t="s">
        <x:v>92</x:v>
      </x:c>
      <x:c r="C14" s="74" t="n">
        <x:v>4</x:v>
      </x:c>
      <x:c r="D14" s="107" t="s"/>
      <x:c r="E14" s="108" t="s"/>
      <x:c r="F14" s="109" t="s"/>
      <x:c r="G14" s="90">
        <x:f>IF($G$9&lt;&gt;"",$G$9,"")</x:f>
      </x:c>
      <x:c r="H14" s="112" t="s"/>
      <x:c r="I14" s="112" t="s"/>
      <x:c r="J14" s="112" t="s"/>
      <x:c r="K14" s="93" t="s"/>
      <x:c r="L14" s="81">
        <x:f>IF(COUNTBLANK(H14:J14)=0,1,0)</x:f>
      </x:c>
      <x:c r="M14" s="94">
        <x:f>SUM(L11:L14)</x:f>
      </x:c>
      <x:c r="N14" s="95">
        <x:f>IF(COUNTIF(K11:K14,"&gt;=0"),ROUND(AVERAGEIF(K11:K14,"&gt;=0"),3),0)</x:f>
      </x:c>
    </x:row>
    <x:row r="15" spans="1:86" customFormat="1" ht="16.15" customHeight="1" thickBot="1" x14ac:dyDescent="0.55000000000000004">
      <x:c r="A15" s="114">
        <x:f>IF(N15=0,"",_xlfn.FLOOR.MATH(RANK(M15,$M$11:$M$131)/4+1+SUMPRODUCT(-(-($M$11:$M$131=M15)),-(-(N15&lt;$N$11:$N$131)))/4))</x:f>
      </x:c>
      <x:c r="B15" s="77" t="s">
        <x:v>92</x:v>
      </x:c>
      <x:c r="C15" s="77" t="n">
        <x:v>1</x:v>
      </x:c>
      <x:c r="D15" s="101" t="s"/>
      <x:c r="E15" s="102" t="s"/>
      <x:c r="F15" s="103" t="s"/>
      <x:c r="G15" s="78">
        <x:f>IF($G$6&lt;&gt;"",$G$6,"")</x:f>
      </x:c>
      <x:c r="H15" s="187" t="s"/>
      <x:c r="I15" s="187" t="s"/>
      <x:c r="J15" s="187" t="s"/>
      <x:c r="K15" s="188">
        <x:f>IF(COUNTBLANK(H15:J15)=0,AVERAGE(H15:J15),-0.000001)</x:f>
      </x:c>
      <x:c r="L15" s="81">
        <x:f>IF(COUNTBLANK(H15:J15)=0,1,0)</x:f>
      </x:c>
      <x:c r="M15" s="81">
        <x:f>SUM(L15:L18)</x:f>
      </x:c>
      <x:c r="N15" s="82">
        <x:f>IF(COUNTIF(K15:K18,"&gt;=0"),ROUND(AVERAGEIF(K15:K18,"&gt;=0"),3),0)</x:f>
      </x:c>
    </x:row>
    <x:row r="16" spans="1:86" customFormat="1" ht="16.15" customHeight="1" thickBot="1" x14ac:dyDescent="0.55000000000000004">
      <x:c r="A16" s="115">
        <x:f>IF(N16=0,"",_xlfn.FLOOR.MATH(RANK(M16,$M$11:$M$131)/4+1+SUMPRODUCT(-(-($M$11:$M$131=M16)),-(-(N16&lt;$N$11:$N$131)))/4))</x:f>
      </x:c>
      <x:c r="B16" s="34" t="s">
        <x:v>92</x:v>
      </x:c>
      <x:c r="C16" s="34" t="n">
        <x:v>2</x:v>
      </x:c>
      <x:c r="D16" s="104" t="s"/>
      <x:c r="E16" s="105" t="s"/>
      <x:c r="F16" s="106" t="s"/>
      <x:c r="G16" s="86">
        <x:f>IF($G$7&lt;&gt;"",$G$7,"")</x:f>
      </x:c>
      <x:c r="H16" s="112" t="s"/>
      <x:c r="I16" s="112" t="s"/>
      <x:c r="J16" s="112" t="s"/>
      <x:c r="K16" s="97">
        <x:f>IF(COUNTBLANK(H16:J16)=0,AVERAGE(H16:J16),-0.000001)</x:f>
      </x:c>
      <x:c r="L16" s="81">
        <x:f>IF(COUNTBLANK(H16:J16)=0,1,0)</x:f>
      </x:c>
      <x:c r="M16" s="84">
        <x:f>SUM(L15:L18)</x:f>
      </x:c>
      <x:c r="N16" s="85">
        <x:f>IF(COUNTIF(K15:K18,"&gt;=0"),ROUND(AVERAGEIF(K15:K18,"&gt;=0"),3),0)</x:f>
      </x:c>
    </x:row>
    <x:row r="17" spans="1:86" customFormat="1" ht="16.15" customHeight="1" thickBot="1" x14ac:dyDescent="0.55000000000000004">
      <x:c r="A17" s="116">
        <x:f>IF(N17=0,"",_xlfn.FLOOR.MATH(RANK(M17,$M$11:$M$131)/4+1+SUMPRODUCT(-(-($M$11:$M$131=M17)),-(-(N17&lt;$N$11:$N$131)))/4))</x:f>
      </x:c>
      <x:c r="B17" s="34" t="s">
        <x:v>92</x:v>
      </x:c>
      <x:c r="C17" s="34" t="n">
        <x:v>3</x:v>
      </x:c>
      <x:c r="E17" s="105" t="s"/>
      <x:c r="G17" s="86">
        <x:f>IF($G$8&lt;&gt;"",$G$8,"")</x:f>
      </x:c>
      <x:c r="H17" s="112" t="s"/>
      <x:c r="I17" s="112" t="s"/>
      <x:c r="J17" s="112" t="s"/>
      <x:c r="K17" s="97">
        <x:f>IF(COUNTBLANK(H17:J17)=0,AVERAGE(H17:J17),-0.000001)</x:f>
      </x:c>
      <x:c r="L17" s="81">
        <x:f>IF(COUNTBLANK(H17:J17)=0,1,0)</x:f>
      </x:c>
      <x:c r="M17" s="84">
        <x:f>SUM(L15:L18)</x:f>
      </x:c>
      <x:c r="N17" s="89">
        <x:f>IF(COUNTIF(K15:K18,"&gt;=0"),ROUND(AVERAGEIF(K15:K18,"&gt;=0"),3),0)</x:f>
      </x:c>
    </x:row>
    <x:row r="18" spans="1:86" customFormat="1" ht="16.15" customHeight="1" thickBot="1" x14ac:dyDescent="0.55000000000000004">
      <x:c r="A18" s="117">
        <x:f>IF(N18=0,"",_xlfn.FLOOR.MATH(RANK(M18,$M$11:$M$131)/4+1+SUMPRODUCT(-(-($M$11:$M$131=M18)),-(-(N18&lt;$N$11:$N$131)))/4))</x:f>
      </x:c>
      <x:c r="B18" s="74" t="s">
        <x:v>92</x:v>
      </x:c>
      <x:c r="C18" s="74" t="n">
        <x:v>4</x:v>
      </x:c>
      <x:c r="D18" s="107" t="s"/>
      <x:c r="E18" s="108" t="s"/>
      <x:c r="F18" s="109" t="s"/>
      <x:c r="G18" s="90">
        <x:f>IF($G$9&lt;&gt;"",$G$9,"")</x:f>
      </x:c>
      <x:c r="H18" s="112" t="s"/>
      <x:c r="I18" s="112" t="s"/>
      <x:c r="J18" s="112" t="s"/>
      <x:c r="K18" s="93">
        <x:f>IF(COUNTBLANK(H18:J18)=0,AVERAGE(H18:J18),-0.000001)</x:f>
      </x:c>
      <x:c r="L18" s="81">
        <x:f>IF(COUNTBLANK(H18:J18)=0,1,0)</x:f>
      </x:c>
      <x:c r="M18" s="94">
        <x:f>SUM(L15:L18)</x:f>
      </x:c>
      <x:c r="N18" s="95">
        <x:f>IF(COUNTIF(K15:K18,"&gt;=0"),ROUND(AVERAGEIF(K15:K18,"&gt;=0"),3),0)</x:f>
      </x:c>
    </x:row>
    <x:row r="19" spans="1:86" customFormat="1" ht="16.15" customHeight="1" thickBot="1" x14ac:dyDescent="0.55000000000000004">
      <x:c r="A19" s="114">
        <x:f>IF(N19=0,"",_xlfn.FLOOR.MATH(RANK(M19,$M$11:$M$131)/4+1+SUMPRODUCT(-(-($M$11:$M$131=M19)),-(-(N19&lt;$N$11:$N$131)))/4))</x:f>
      </x:c>
      <x:c r="B19" s="77" t="s">
        <x:v>92</x:v>
      </x:c>
      <x:c r="C19" s="77" t="n">
        <x:v>1</x:v>
      </x:c>
      <x:c r="D19" s="101" t="s"/>
      <x:c r="E19" s="102" t="s"/>
      <x:c r="F19" s="103" t="s"/>
      <x:c r="G19" s="78">
        <x:f>IF($G$6&lt;&gt;"",$G$6,"")</x:f>
      </x:c>
      <x:c r="H19" s="187" t="s"/>
      <x:c r="I19" s="187" t="s"/>
      <x:c r="J19" s="187" t="s"/>
      <x:c r="K19" s="188">
        <x:f>IF(COUNTBLANK(H19:J19)=0,AVERAGE(H19:J19),-0.000001)</x:f>
      </x:c>
      <x:c r="L19" s="81">
        <x:f>IF(COUNTBLANK(H19:J19)=0,1,0)</x:f>
      </x:c>
      <x:c r="M19" s="81">
        <x:f>SUM(L19:L22)</x:f>
      </x:c>
      <x:c r="N19" s="82">
        <x:f>IF(COUNTIF(K19:K22,"&gt;=0"),ROUND(AVERAGEIF(K19:K22,"&gt;=0"),3),0)</x:f>
      </x:c>
    </x:row>
    <x:row r="20" spans="1:86" customFormat="1" ht="16.15" customHeight="1" thickBot="1" x14ac:dyDescent="0.55000000000000004">
      <x:c r="A20" s="115">
        <x:f>IF(N20=0,"",_xlfn.FLOOR.MATH(RANK(M20,$M$11:$M$131)/4+1+SUMPRODUCT(-(-($M$11:$M$131=M20)),-(-(N20&lt;$N$11:$N$131)))/4))</x:f>
      </x:c>
      <x:c r="B20" s="34" t="s">
        <x:v>92</x:v>
      </x:c>
      <x:c r="C20" s="34" t="n">
        <x:v>2</x:v>
      </x:c>
      <x:c r="D20" s="104" t="s"/>
      <x:c r="E20" s="105" t="s"/>
      <x:c r="F20" s="106" t="s"/>
      <x:c r="G20" s="86">
        <x:f>IF($G$7&lt;&gt;"",$G$7,"")</x:f>
      </x:c>
      <x:c r="H20" s="112" t="s"/>
      <x:c r="I20" s="112" t="s"/>
      <x:c r="J20" s="112" t="s"/>
      <x:c r="K20" s="97">
        <x:f>IF(COUNTBLANK(H20:J20)=0,AVERAGE(H20:J20),-0.000001)</x:f>
      </x:c>
      <x:c r="L20" s="81">
        <x:f>IF(COUNTBLANK(H20:J20)=0,1,0)</x:f>
      </x:c>
      <x:c r="M20" s="84">
        <x:f>SUM(L19:L22)</x:f>
      </x:c>
      <x:c r="N20" s="85">
        <x:f>IF(COUNTIF(K19:K22,"&gt;=0"),ROUND(AVERAGEIF(K19:K22,"&gt;=0"),3),0)</x:f>
      </x:c>
    </x:row>
    <x:row r="21" spans="1:86" customFormat="1" ht="16.15" customHeight="1" thickBot="1" x14ac:dyDescent="0.55000000000000004">
      <x:c r="A21" s="116">
        <x:f>IF(N21=0,"",_xlfn.FLOOR.MATH(RANK(M21,$M$11:$M$131)/4+1+SUMPRODUCT(-(-($M$11:$M$131=M21)),-(-(N21&lt;$N$11:$N$131)))/4))</x:f>
      </x:c>
      <x:c r="B21" s="34" t="s">
        <x:v>92</x:v>
      </x:c>
      <x:c r="C21" s="34" t="n">
        <x:v>3</x:v>
      </x:c>
      <x:c r="E21" s="105" t="s"/>
      <x:c r="G21" s="86">
        <x:f>IF($G$8&lt;&gt;"",$G$8,"")</x:f>
      </x:c>
      <x:c r="H21" s="112" t="s"/>
      <x:c r="I21" s="112" t="s"/>
      <x:c r="J21" s="112" t="s"/>
      <x:c r="K21" s="97">
        <x:f>IF(COUNTBLANK(H21:J21)=0,AVERAGE(H21:J21),-0.000001)</x:f>
      </x:c>
      <x:c r="L21" s="81">
        <x:f>IF(COUNTBLANK(H21:J21)=0,1,0)</x:f>
      </x:c>
      <x:c r="M21" s="84">
        <x:f>SUM(L19:L22)</x:f>
      </x:c>
      <x:c r="N21" s="89">
        <x:f>IF(COUNTIF(K19:K22,"&gt;=0"),ROUND(AVERAGEIF(K19:K22,"&gt;=0"),3),0)</x:f>
      </x:c>
    </x:row>
    <x:row r="22" spans="1:86" customFormat="1" ht="16.15" customHeight="1" thickBot="1" x14ac:dyDescent="0.55000000000000004">
      <x:c r="A22" s="117">
        <x:f>IF(N22=0,"",_xlfn.FLOOR.MATH(RANK(M22,$M$11:$M$131)/4+1+SUMPRODUCT(-(-($M$11:$M$131=M22)),-(-(N22&lt;$N$11:$N$131)))/4))</x:f>
      </x:c>
      <x:c r="B22" s="74" t="s">
        <x:v>92</x:v>
      </x:c>
      <x:c r="C22" s="74" t="n">
        <x:v>4</x:v>
      </x:c>
      <x:c r="D22" s="107" t="s"/>
      <x:c r="E22" s="108" t="s"/>
      <x:c r="F22" s="109" t="s"/>
      <x:c r="G22" s="90">
        <x:f>IF($G$9&lt;&gt;"",$G$9,"")</x:f>
      </x:c>
      <x:c r="H22" s="112" t="s"/>
      <x:c r="I22" s="112" t="s"/>
      <x:c r="J22" s="112" t="s"/>
      <x:c r="K22" s="93">
        <x:f>IF(COUNTBLANK(H22:J22)=0,AVERAGE(H22:J22),-0.000001)</x:f>
      </x:c>
      <x:c r="L22" s="81">
        <x:f>IF(COUNTBLANK(H22:J22)=0,1,0)</x:f>
      </x:c>
      <x:c r="M22" s="94">
        <x:f>SUM(L19:L22)</x:f>
      </x:c>
      <x:c r="N22" s="95">
        <x:f>IF(COUNTIF(K19:K22,"&gt;=0"),ROUND(AVERAGEIF(K19:K22,"&gt;=0"),3),0)</x:f>
      </x:c>
    </x:row>
    <x:row r="23" spans="1:86" customFormat="1" ht="16.15" customHeight="1" thickBot="1" x14ac:dyDescent="0.55000000000000004">
      <x:c r="A23" s="114">
        <x:f>IF(N23=0,"",_xlfn.FLOOR.MATH(RANK(M23,$M$11:$M$131)/4+1+SUMPRODUCT(-(-($M$11:$M$131=M23)),-(-(N23&lt;$N$11:$N$131)))/4))</x:f>
      </x:c>
      <x:c r="B23" s="77" t="s">
        <x:v>92</x:v>
      </x:c>
      <x:c r="C23" s="77" t="n">
        <x:v>1</x:v>
      </x:c>
      <x:c r="D23" s="101" t="s"/>
      <x:c r="E23" s="102" t="s"/>
      <x:c r="F23" s="103" t="s"/>
      <x:c r="G23" s="78">
        <x:f>IF($G$6&lt;&gt;"",$G$6,"")</x:f>
      </x:c>
      <x:c r="H23" s="187" t="s"/>
      <x:c r="I23" s="187" t="s"/>
      <x:c r="J23" s="187" t="s"/>
      <x:c r="K23" s="188">
        <x:f>IF(COUNTBLANK(H23:J23)=0,AVERAGE(H23:J23),-0.000001)</x:f>
      </x:c>
      <x:c r="L23" s="81">
        <x:f>IF(COUNTBLANK(H23:J23)=0,1,0)</x:f>
      </x:c>
      <x:c r="M23" s="81">
        <x:f>SUM(L23:L26)</x:f>
      </x:c>
      <x:c r="N23" s="82">
        <x:f>IF(COUNTIF(K23:K26,"&gt;=0"),ROUND(AVERAGEIF(K23:K26,"&gt;=0"),3),0)</x:f>
      </x:c>
    </x:row>
    <x:row r="24" spans="1:86" customFormat="1" ht="16.15" customHeight="1" thickBot="1" x14ac:dyDescent="0.55000000000000004">
      <x:c r="A24" s="115">
        <x:f>IF(N24=0,"",_xlfn.FLOOR.MATH(RANK(M24,$M$11:$M$131)/4+1+SUMPRODUCT(-(-($M$11:$M$131=M24)),-(-(N24&lt;$N$11:$N$131)))/4))</x:f>
      </x:c>
      <x:c r="B24" s="34" t="s">
        <x:v>92</x:v>
      </x:c>
      <x:c r="C24" s="34" t="n">
        <x:v>2</x:v>
      </x:c>
      <x:c r="D24" s="104" t="s"/>
      <x:c r="E24" s="105" t="s"/>
      <x:c r="F24" s="106" t="s"/>
      <x:c r="G24" s="86">
        <x:f>IF($G$7&lt;&gt;"",$G$7,"")</x:f>
      </x:c>
      <x:c r="H24" s="112" t="s"/>
      <x:c r="I24" s="112" t="s"/>
      <x:c r="J24" s="112" t="s"/>
      <x:c r="K24" s="97">
        <x:f>IF(COUNTBLANK(H24:J24)=0,AVERAGE(H24:J24),-0.000001)</x:f>
      </x:c>
      <x:c r="L24" s="81">
        <x:f>IF(COUNTBLANK(H24:J24)=0,1,0)</x:f>
      </x:c>
      <x:c r="M24" s="84">
        <x:f>SUM(L23:L26)</x:f>
      </x:c>
      <x:c r="N24" s="85">
        <x:f>IF(COUNTIF(K23:K26,"&gt;=0"),ROUND(AVERAGEIF(K23:K26,"&gt;=0"),3),0)</x:f>
      </x:c>
    </x:row>
    <x:row r="25" spans="1:86" customFormat="1" ht="16.15" customHeight="1" thickBot="1" x14ac:dyDescent="0.55000000000000004">
      <x:c r="A25" s="116">
        <x:f>IF(N25=0,"",_xlfn.FLOOR.MATH(RANK(M25,$M$11:$M$131)/4+1+SUMPRODUCT(-(-($M$11:$M$131=M25)),-(-(N25&lt;$N$11:$N$131)))/4))</x:f>
      </x:c>
      <x:c r="B25" s="34" t="s">
        <x:v>92</x:v>
      </x:c>
      <x:c r="C25" s="34" t="n">
        <x:v>3</x:v>
      </x:c>
      <x:c r="E25" s="105" t="s"/>
      <x:c r="G25" s="86">
        <x:f>IF($G$8&lt;&gt;"",$G$8,"")</x:f>
      </x:c>
      <x:c r="H25" s="112" t="s"/>
      <x:c r="I25" s="112" t="s"/>
      <x:c r="J25" s="112" t="s"/>
      <x:c r="K25" s="97">
        <x:f>IF(COUNTBLANK(H25:J25)=0,AVERAGE(H25:J25),-0.000001)</x:f>
      </x:c>
      <x:c r="L25" s="81">
        <x:f>IF(COUNTBLANK(H25:J25)=0,1,0)</x:f>
      </x:c>
      <x:c r="M25" s="84">
        <x:f>SUM(L23:L26)</x:f>
      </x:c>
      <x:c r="N25" s="89">
        <x:f>IF(COUNTIF(K23:K26,"&gt;=0"),ROUND(AVERAGEIF(K23:K26,"&gt;=0"),3),0)</x:f>
      </x:c>
    </x:row>
    <x:row r="26" spans="1:86" customFormat="1" ht="16.15" customHeight="1" thickBot="1" x14ac:dyDescent="0.55000000000000004">
      <x:c r="A26" s="117">
        <x:f>IF(N26=0,"",_xlfn.FLOOR.MATH(RANK(M26,$M$11:$M$131)/4+1+SUMPRODUCT(-(-($M$11:$M$131=M26)),-(-(N26&lt;$N$11:$N$131)))/4))</x:f>
      </x:c>
      <x:c r="B26" s="74" t="s">
        <x:v>92</x:v>
      </x:c>
      <x:c r="C26" s="74" t="n">
        <x:v>4</x:v>
      </x:c>
      <x:c r="D26" s="107" t="s"/>
      <x:c r="E26" s="108" t="s"/>
      <x:c r="F26" s="109" t="s"/>
      <x:c r="G26" s="90">
        <x:f>IF($G$9&lt;&gt;"",$G$9,"")</x:f>
      </x:c>
      <x:c r="H26" s="112" t="s"/>
      <x:c r="I26" s="112" t="s"/>
      <x:c r="J26" s="112" t="s"/>
      <x:c r="K26" s="93">
        <x:f>IF(COUNTBLANK(H26:J26)=0,AVERAGE(H26:J26),-0.000001)</x:f>
      </x:c>
      <x:c r="L26" s="81">
        <x:f>IF(COUNTBLANK(H26:J26)=0,1,0)</x:f>
      </x:c>
      <x:c r="M26" s="94">
        <x:f>SUM(L23:L26)</x:f>
      </x:c>
      <x:c r="N26" s="95">
        <x:f>IF(COUNTIF(K23:K26,"&gt;=0"),ROUND(AVERAGEIF(K23:K26,"&gt;=0"),3),0)</x:f>
      </x:c>
    </x:row>
    <x:row r="27" spans="1:86" customFormat="1" ht="16.15" customHeight="1" thickBot="1" x14ac:dyDescent="0.55000000000000004">
      <x:c r="A27" s="114">
        <x:f>IF(N27=0,"",_xlfn.FLOOR.MATH(RANK(M27,$M$11:$M$131)/4+1+SUMPRODUCT(-(-($M$11:$M$131=M27)),-(-(N27&lt;$N$11:$N$131)))/4))</x:f>
      </x:c>
      <x:c r="B27" s="77" t="s">
        <x:v>92</x:v>
      </x:c>
      <x:c r="C27" s="77" t="n">
        <x:v>1</x:v>
      </x:c>
      <x:c r="D27" s="101" t="s"/>
      <x:c r="E27" s="102" t="s"/>
      <x:c r="F27" s="103" t="s"/>
      <x:c r="G27" s="78">
        <x:f>IF($G$6&lt;&gt;"",$G$6,"")</x:f>
      </x:c>
      <x:c r="H27" s="187" t="s"/>
      <x:c r="I27" s="187" t="s"/>
      <x:c r="J27" s="187" t="s"/>
      <x:c r="K27" s="188">
        <x:f>IF(COUNTBLANK(H27:J27)=0,AVERAGE(H27:J27),-0.000001)</x:f>
      </x:c>
      <x:c r="L27" s="81">
        <x:f>IF(COUNTBLANK(H27:J27)=0,1,0)</x:f>
      </x:c>
      <x:c r="M27" s="81">
        <x:f>SUM(L27:L30)</x:f>
      </x:c>
      <x:c r="N27" s="82">
        <x:f>IF(COUNTIF(K27:K30,"&gt;=0"),ROUND(AVERAGEIF(K27:K30,"&gt;=0"),3),0)</x:f>
      </x:c>
    </x:row>
    <x:row r="28" spans="1:86" customFormat="1" ht="16.15" customHeight="1" thickBot="1" x14ac:dyDescent="0.55000000000000004">
      <x:c r="A28" s="115">
        <x:f>IF(N28=0,"",_xlfn.FLOOR.MATH(RANK(M28,$M$11:$M$131)/4+1+SUMPRODUCT(-(-($M$11:$M$131=M28)),-(-(N28&lt;$N$11:$N$131)))/4))</x:f>
      </x:c>
      <x:c r="B28" s="34" t="s">
        <x:v>92</x:v>
      </x:c>
      <x:c r="C28" s="34" t="n">
        <x:v>2</x:v>
      </x:c>
      <x:c r="D28" s="104" t="s"/>
      <x:c r="E28" s="105" t="s"/>
      <x:c r="F28" s="106" t="s"/>
      <x:c r="G28" s="86">
        <x:f>IF($G$7&lt;&gt;"",$G$7,"")</x:f>
      </x:c>
      <x:c r="H28" s="112" t="s"/>
      <x:c r="I28" s="112" t="s"/>
      <x:c r="J28" s="112" t="s"/>
      <x:c r="K28" s="97">
        <x:f>IF(COUNTBLANK(H28:J28)=0,AVERAGE(H28:J28),-0.000001)</x:f>
      </x:c>
      <x:c r="L28" s="81">
        <x:f>IF(COUNTBLANK(H28:J28)=0,1,0)</x:f>
      </x:c>
      <x:c r="M28" s="84">
        <x:f>SUM(L27:L30)</x:f>
      </x:c>
      <x:c r="N28" s="85">
        <x:f>IF(COUNTIF(K27:K30,"&gt;=0"),ROUND(AVERAGEIF(K27:K30,"&gt;=0"),3),0)</x:f>
      </x:c>
    </x:row>
    <x:row r="29" spans="1:86" customFormat="1" ht="16.15" customHeight="1" thickBot="1" x14ac:dyDescent="0.55000000000000004">
      <x:c r="A29" s="116">
        <x:f>IF(N29=0,"",_xlfn.FLOOR.MATH(RANK(M29,$M$11:$M$131)/4+1+SUMPRODUCT(-(-($M$11:$M$131=M29)),-(-(N29&lt;$N$11:$N$131)))/4))</x:f>
      </x:c>
      <x:c r="B29" s="34" t="s">
        <x:v>92</x:v>
      </x:c>
      <x:c r="C29" s="34" t="n">
        <x:v>3</x:v>
      </x:c>
      <x:c r="E29" s="105" t="s"/>
      <x:c r="G29" s="86">
        <x:f>IF($G$8&lt;&gt;"",$G$8,"")</x:f>
      </x:c>
      <x:c r="H29" s="112" t="s"/>
      <x:c r="I29" s="112" t="s"/>
      <x:c r="J29" s="112" t="s"/>
      <x:c r="K29" s="97">
        <x:f>IF(COUNTBLANK(H29:J29)=0,AVERAGE(H29:J29),-0.000001)</x:f>
      </x:c>
      <x:c r="L29" s="81">
        <x:f>IF(COUNTBLANK(H29:J29)=0,1,0)</x:f>
      </x:c>
      <x:c r="M29" s="84">
        <x:f>SUM(L27:L30)</x:f>
      </x:c>
      <x:c r="N29" s="89">
        <x:f>IF(COUNTIF(K27:K30,"&gt;=0"),ROUND(AVERAGEIF(K27:K30,"&gt;=0"),3),0)</x:f>
      </x:c>
    </x:row>
    <x:row r="30" spans="1:86" customFormat="1" ht="16.15" customHeight="1" thickBot="1" x14ac:dyDescent="0.55000000000000004">
      <x:c r="A30" s="117">
        <x:f>IF(N30=0,"",_xlfn.FLOOR.MATH(RANK(M30,$M$11:$M$131)/4+1+SUMPRODUCT(-(-($M$11:$M$131=M30)),-(-(N30&lt;$N$11:$N$131)))/4))</x:f>
      </x:c>
      <x:c r="B30" s="74" t="s">
        <x:v>92</x:v>
      </x:c>
      <x:c r="C30" s="74" t="n">
        <x:v>4</x:v>
      </x:c>
      <x:c r="D30" s="107" t="s"/>
      <x:c r="E30" s="108" t="s"/>
      <x:c r="F30" s="109" t="s"/>
      <x:c r="G30" s="90">
        <x:f>IF($G$9&lt;&gt;"",$G$9,"")</x:f>
      </x:c>
      <x:c r="H30" s="112" t="s"/>
      <x:c r="I30" s="112" t="s"/>
      <x:c r="J30" s="112" t="s"/>
      <x:c r="K30" s="93">
        <x:f>IF(COUNTBLANK(H30:J30)=0,AVERAGE(H30:J30),-0.000001)</x:f>
      </x:c>
      <x:c r="L30" s="81">
        <x:f>IF(COUNTBLANK(H30:J30)=0,1,0)</x:f>
      </x:c>
      <x:c r="M30" s="94">
        <x:f>SUM(L27:L30)</x:f>
      </x:c>
      <x:c r="N30" s="95">
        <x:f>IF(COUNTIF(K27:K30,"&gt;=0"),ROUND(AVERAGEIF(K27:K30,"&gt;=0"),3),0)</x:f>
      </x:c>
    </x:row>
    <x:row r="31" spans="1:86" customFormat="1" ht="16.15" customHeight="1" thickBot="1" x14ac:dyDescent="0.55000000000000004">
      <x:c r="A31" s="114">
        <x:f>IF(N31=0,"",_xlfn.FLOOR.MATH(RANK(M31,$M$11:$M$131)/4+1+SUMPRODUCT(-(-($M$11:$M$131=M31)),-(-(N31&lt;$N$11:$N$131)))/4))</x:f>
      </x:c>
      <x:c r="B31" s="77" t="s">
        <x:v>92</x:v>
      </x:c>
      <x:c r="C31" s="77" t="n">
        <x:v>1</x:v>
      </x:c>
      <x:c r="D31" s="101" t="s"/>
      <x:c r="E31" s="102" t="s"/>
      <x:c r="F31" s="103" t="s"/>
      <x:c r="G31" s="78">
        <x:f>IF($G$6&lt;&gt;"",$G$6,"")</x:f>
      </x:c>
      <x:c r="H31" s="187" t="s"/>
      <x:c r="I31" s="187" t="s"/>
      <x:c r="J31" s="187" t="s"/>
      <x:c r="K31" s="188">
        <x:f>IF(COUNTBLANK(H31:J31)=0,AVERAGE(H31:J31),-0.000001)</x:f>
      </x:c>
      <x:c r="L31" s="81">
        <x:f>IF(COUNTBLANK(H31:J31)=0,1,0)</x:f>
      </x:c>
      <x:c r="M31" s="81">
        <x:f>SUM(L31:L34)</x:f>
      </x:c>
      <x:c r="N31" s="82">
        <x:f>IF(COUNTIF(K31:K34,"&gt;=0"),ROUND(AVERAGEIF(K31:K34,"&gt;=0"),3),0)</x:f>
      </x:c>
    </x:row>
    <x:row r="32" spans="1:86" customFormat="1" ht="16.15" customHeight="1" thickBot="1" x14ac:dyDescent="0.55000000000000004">
      <x:c r="A32" s="115">
        <x:f>IF(N32=0,"",_xlfn.FLOOR.MATH(RANK(M32,$M$11:$M$131)/4+1+SUMPRODUCT(-(-($M$11:$M$131=M32)),-(-(N32&lt;$N$11:$N$131)))/4))</x:f>
      </x:c>
      <x:c r="B32" s="34" t="s">
        <x:v>92</x:v>
      </x:c>
      <x:c r="C32" s="34" t="n">
        <x:v>2</x:v>
      </x:c>
      <x:c r="D32" s="104" t="s"/>
      <x:c r="E32" s="105" t="s"/>
      <x:c r="F32" s="106" t="s"/>
      <x:c r="G32" s="86">
        <x:f>IF($G$7&lt;&gt;"",$G$7,"")</x:f>
      </x:c>
      <x:c r="H32" s="112" t="s"/>
      <x:c r="I32" s="112" t="s"/>
      <x:c r="J32" s="112" t="s"/>
      <x:c r="K32" s="97">
        <x:f>IF(COUNTBLANK(H32:J32)=0,AVERAGE(H32:J32),-0.000001)</x:f>
      </x:c>
      <x:c r="L32" s="81">
        <x:f>IF(COUNTBLANK(H32:J32)=0,1,0)</x:f>
      </x:c>
      <x:c r="M32" s="84">
        <x:f>SUM(L31:L34)</x:f>
      </x:c>
      <x:c r="N32" s="85">
        <x:f>IF(COUNTIF(K31:K34,"&gt;=0"),ROUND(AVERAGEIF(K31:K34,"&gt;=0"),3),0)</x:f>
      </x:c>
    </x:row>
    <x:row r="33" spans="1:86" customFormat="1" ht="16.15" customHeight="1" thickBot="1" x14ac:dyDescent="0.55000000000000004">
      <x:c r="A33" s="116">
        <x:f>IF(N33=0,"",_xlfn.FLOOR.MATH(RANK(M33,$M$11:$M$131)/4+1+SUMPRODUCT(-(-($M$11:$M$131=M33)),-(-(N33&lt;$N$11:$N$131)))/4))</x:f>
      </x:c>
      <x:c r="B33" s="34" t="s">
        <x:v>92</x:v>
      </x:c>
      <x:c r="C33" s="34" t="n">
        <x:v>3</x:v>
      </x:c>
      <x:c r="E33" s="105" t="s"/>
      <x:c r="G33" s="86">
        <x:f>IF($G$8&lt;&gt;"",$G$8,"")</x:f>
      </x:c>
      <x:c r="H33" s="112" t="s"/>
      <x:c r="I33" s="112" t="s"/>
      <x:c r="J33" s="112" t="s"/>
      <x:c r="K33" s="97">
        <x:f>IF(COUNTBLANK(H33:J33)=0,AVERAGE(H33:J33),-0.000001)</x:f>
      </x:c>
      <x:c r="L33" s="81">
        <x:f>IF(COUNTBLANK(H33:J33)=0,1,0)</x:f>
      </x:c>
      <x:c r="M33" s="84">
        <x:f>SUM(L31:L34)</x:f>
      </x:c>
      <x:c r="N33" s="89">
        <x:f>IF(COUNTIF(K31:K34,"&gt;=0"),ROUND(AVERAGEIF(K31:K34,"&gt;=0"),3),0)</x:f>
      </x:c>
    </x:row>
    <x:row r="34" spans="1:86" customFormat="1" ht="16.15" customHeight="1" thickBot="1" x14ac:dyDescent="0.55000000000000004">
      <x:c r="A34" s="117">
        <x:f>IF(N34=0,"",_xlfn.FLOOR.MATH(RANK(M34,$M$11:$M$131)/4+1+SUMPRODUCT(-(-($M$11:$M$131=M34)),-(-(N34&lt;$N$11:$N$131)))/4))</x:f>
      </x:c>
      <x:c r="B34" s="74" t="s">
        <x:v>92</x:v>
      </x:c>
      <x:c r="C34" s="74" t="n">
        <x:v>4</x:v>
      </x:c>
      <x:c r="D34" s="107" t="s"/>
      <x:c r="E34" s="108" t="s"/>
      <x:c r="F34" s="109" t="s"/>
      <x:c r="G34" s="90">
        <x:f>IF($G$9&lt;&gt;"",$G$9,"")</x:f>
      </x:c>
      <x:c r="H34" s="112" t="s"/>
      <x:c r="I34" s="112" t="s"/>
      <x:c r="J34" s="112" t="s"/>
      <x:c r="K34" s="93">
        <x:f>IF(COUNTBLANK(H34:J34)=0,AVERAGE(H34:J34),-0.000001)</x:f>
      </x:c>
      <x:c r="L34" s="81">
        <x:f>IF(COUNTBLANK(H34:J34)=0,1,0)</x:f>
      </x:c>
      <x:c r="M34" s="94">
        <x:f>SUM(L31:L34)</x:f>
      </x:c>
      <x:c r="N34" s="95">
        <x:f>IF(COUNTIF(K31:K34,"&gt;=0"),ROUND(AVERAGEIF(K31:K34,"&gt;=0"),3),0)</x:f>
      </x:c>
    </x:row>
    <x:row r="35" spans="1:86" customFormat="1" ht="16.15" customHeight="1" thickBot="1" x14ac:dyDescent="0.55000000000000004">
      <x:c r="A35" s="114">
        <x:f>IF(N35=0,"",_xlfn.FLOOR.MATH(RANK(M35,$M$11:$M$131)/4+1+SUMPRODUCT(-(-($M$11:$M$131=M35)),-(-(N35&lt;$N$11:$N$131)))/4))</x:f>
      </x:c>
      <x:c r="B35" s="77" t="s">
        <x:v>92</x:v>
      </x:c>
      <x:c r="C35" s="77" t="n">
        <x:v>1</x:v>
      </x:c>
      <x:c r="D35" s="101" t="s"/>
      <x:c r="E35" s="102" t="s"/>
      <x:c r="F35" s="103" t="s"/>
      <x:c r="G35" s="78">
        <x:f>IF($G$6&lt;&gt;"",$G$6,"")</x:f>
      </x:c>
      <x:c r="H35" s="187" t="s"/>
      <x:c r="I35" s="187" t="s"/>
      <x:c r="J35" s="187" t="s"/>
      <x:c r="K35" s="188">
        <x:f>IF(COUNTBLANK(H35:J35)=0,AVERAGE(H35:J35),-0.000001)</x:f>
      </x:c>
      <x:c r="L35" s="81">
        <x:f>IF(COUNTBLANK(H35:J35)=0,1,0)</x:f>
      </x:c>
      <x:c r="M35" s="81">
        <x:f>SUM(L35:L38)</x:f>
      </x:c>
      <x:c r="N35" s="82">
        <x:f>IF(COUNTIF(K35:K38,"&gt;=0"),ROUND(AVERAGEIF(K35:K38,"&gt;=0"),3),0)</x:f>
      </x:c>
    </x:row>
    <x:row r="36" spans="1:86" customFormat="1" ht="16.15" customHeight="1" thickBot="1" x14ac:dyDescent="0.55000000000000004">
      <x:c r="A36" s="115">
        <x:f>IF(N36=0,"",_xlfn.FLOOR.MATH(RANK(M36,$M$11:$M$131)/4+1+SUMPRODUCT(-(-($M$11:$M$131=M36)),-(-(N36&lt;$N$11:$N$131)))/4))</x:f>
      </x:c>
      <x:c r="B36" s="34" t="s">
        <x:v>92</x:v>
      </x:c>
      <x:c r="C36" s="34" t="n">
        <x:v>2</x:v>
      </x:c>
      <x:c r="D36" s="104" t="s"/>
      <x:c r="E36" s="105" t="s"/>
      <x:c r="F36" s="106" t="s"/>
      <x:c r="G36" s="86">
        <x:f>IF($G$7&lt;&gt;"",$G$7,"")</x:f>
      </x:c>
      <x:c r="H36" s="112" t="s"/>
      <x:c r="I36" s="112" t="s"/>
      <x:c r="J36" s="112" t="s"/>
      <x:c r="K36" s="97">
        <x:f>IF(COUNTBLANK(H36:J36)=0,AVERAGE(H36:J36),-0.000001)</x:f>
      </x:c>
      <x:c r="L36" s="81">
        <x:f>IF(COUNTBLANK(H36:J36)=0,1,0)</x:f>
      </x:c>
      <x:c r="M36" s="84">
        <x:f>SUM(L35:L38)</x:f>
      </x:c>
      <x:c r="N36" s="85">
        <x:f>IF(COUNTIF(K35:K38,"&gt;=0"),ROUND(AVERAGEIF(K35:K38,"&gt;=0"),3),0)</x:f>
      </x:c>
    </x:row>
    <x:row r="37" spans="1:86" customFormat="1" ht="16.15" customHeight="1" thickBot="1" x14ac:dyDescent="0.55000000000000004">
      <x:c r="A37" s="116">
        <x:f>IF(N37=0,"",_xlfn.FLOOR.MATH(RANK(M37,$M$11:$M$131)/4+1+SUMPRODUCT(-(-($M$11:$M$131=M37)),-(-(N37&lt;$N$11:$N$131)))/4))</x:f>
      </x:c>
      <x:c r="B37" s="34" t="s">
        <x:v>92</x:v>
      </x:c>
      <x:c r="C37" s="34" t="n">
        <x:v>3</x:v>
      </x:c>
      <x:c r="E37" s="105" t="s"/>
      <x:c r="G37" s="86">
        <x:f>IF($G$8&lt;&gt;"",$G$8,"")</x:f>
      </x:c>
      <x:c r="H37" s="112" t="s"/>
      <x:c r="I37" s="112" t="s"/>
      <x:c r="J37" s="112" t="s"/>
      <x:c r="K37" s="97">
        <x:f>IF(COUNTBLANK(H37:J37)=0,AVERAGE(H37:J37),-0.000001)</x:f>
      </x:c>
      <x:c r="L37" s="81">
        <x:f>IF(COUNTBLANK(H37:J37)=0,1,0)</x:f>
      </x:c>
      <x:c r="M37" s="84">
        <x:f>SUM(L35:L38)</x:f>
      </x:c>
      <x:c r="N37" s="89">
        <x:f>IF(COUNTIF(K35:K38,"&gt;=0"),ROUND(AVERAGEIF(K35:K38,"&gt;=0"),3),0)</x:f>
      </x:c>
    </x:row>
    <x:row r="38" spans="1:86" customFormat="1" ht="16.15" customHeight="1" thickBot="1" x14ac:dyDescent="0.55000000000000004">
      <x:c r="A38" s="117">
        <x:f>IF(N38=0,"",_xlfn.FLOOR.MATH(RANK(M38,$M$11:$M$131)/4+1+SUMPRODUCT(-(-($M$11:$M$131=M38)),-(-(N38&lt;$N$11:$N$131)))/4))</x:f>
      </x:c>
      <x:c r="B38" s="74" t="s">
        <x:v>92</x:v>
      </x:c>
      <x:c r="C38" s="74" t="n">
        <x:v>4</x:v>
      </x:c>
      <x:c r="D38" s="107" t="s"/>
      <x:c r="E38" s="108" t="s"/>
      <x:c r="F38" s="109" t="s"/>
      <x:c r="G38" s="90">
        <x:f>IF($G$9&lt;&gt;"",$G$9,"")</x:f>
      </x:c>
      <x:c r="H38" s="112" t="s"/>
      <x:c r="I38" s="112" t="s"/>
      <x:c r="J38" s="112" t="s"/>
      <x:c r="K38" s="93">
        <x:f>IF(COUNTBLANK(H38:J38)=0,AVERAGE(H38:J38),-0.000001)</x:f>
      </x:c>
      <x:c r="L38" s="81">
        <x:f>IF(COUNTBLANK(H38:J38)=0,1,0)</x:f>
      </x:c>
      <x:c r="M38" s="94">
        <x:f>SUM(L35:L38)</x:f>
      </x:c>
      <x:c r="N38" s="95">
        <x:f>IF(COUNTIF(K35:K38,"&gt;=0"),ROUND(AVERAGEIF(K35:K38,"&gt;=0"),3),0)</x:f>
      </x:c>
    </x:row>
    <x:row r="39" spans="1:86" customFormat="1" ht="16.15" customHeight="1" thickBot="1" x14ac:dyDescent="0.55000000000000004">
      <x:c r="A39" s="114">
        <x:f>IF(N39=0,"",_xlfn.FLOOR.MATH(RANK(M39,$M$11:$M$131)/4+1+SUMPRODUCT(-(-($M$11:$M$131=M39)),-(-(N39&lt;$N$11:$N$131)))/4))</x:f>
      </x:c>
      <x:c r="B39" s="77" t="s">
        <x:v>92</x:v>
      </x:c>
      <x:c r="C39" s="77" t="n">
        <x:v>1</x:v>
      </x:c>
      <x:c r="D39" s="101" t="s"/>
      <x:c r="E39" s="102" t="s"/>
      <x:c r="F39" s="103" t="s"/>
      <x:c r="G39" s="78">
        <x:f>IF($G$6&lt;&gt;"",$G$6,"")</x:f>
      </x:c>
      <x:c r="H39" s="187" t="s"/>
      <x:c r="I39" s="187" t="s"/>
      <x:c r="J39" s="187" t="s"/>
      <x:c r="K39" s="188">
        <x:f>IF(COUNTBLANK(H39:J39)=0,AVERAGE(H39:J39),-0.000001)</x:f>
      </x:c>
      <x:c r="L39" s="81">
        <x:f>IF(COUNTBLANK(H39:J39)=0,1,0)</x:f>
      </x:c>
      <x:c r="M39" s="81">
        <x:f>SUM(L39:L42)</x:f>
      </x:c>
      <x:c r="N39" s="82">
        <x:f>IF(COUNTIF(K39:K42,"&gt;=0"),ROUND(AVERAGEIF(K39:K42,"&gt;=0"),3),0)</x:f>
      </x:c>
    </x:row>
    <x:row r="40" spans="1:86" customFormat="1" ht="16.15" customHeight="1" thickBot="1" x14ac:dyDescent="0.55000000000000004">
      <x:c r="A40" s="115">
        <x:f>IF(N40=0,"",_xlfn.FLOOR.MATH(RANK(M40,$M$11:$M$131)/4+1+SUMPRODUCT(-(-($M$11:$M$131=M40)),-(-(N40&lt;$N$11:$N$131)))/4))</x:f>
      </x:c>
      <x:c r="B40" s="34" t="s">
        <x:v>92</x:v>
      </x:c>
      <x:c r="C40" s="34" t="n">
        <x:v>2</x:v>
      </x:c>
      <x:c r="D40" s="104" t="s"/>
      <x:c r="E40" s="105" t="s"/>
      <x:c r="F40" s="106" t="s"/>
      <x:c r="G40" s="86">
        <x:f>IF($G$7&lt;&gt;"",$G$7,"")</x:f>
      </x:c>
      <x:c r="H40" s="112" t="s"/>
      <x:c r="I40" s="112" t="s"/>
      <x:c r="J40" s="112" t="s"/>
      <x:c r="K40" s="97">
        <x:f>IF(COUNTBLANK(H40:J40)=0,AVERAGE(H40:J40),-0.000001)</x:f>
      </x:c>
      <x:c r="L40" s="81">
        <x:f>IF(COUNTBLANK(H40:J40)=0,1,0)</x:f>
      </x:c>
      <x:c r="M40" s="84">
        <x:f>SUM(L39:L42)</x:f>
      </x:c>
      <x:c r="N40" s="85">
        <x:f>IF(COUNTIF(K39:K42,"&gt;=0"),ROUND(AVERAGEIF(K39:K42,"&gt;=0"),3),0)</x:f>
      </x:c>
    </x:row>
    <x:row r="41" spans="1:86" customFormat="1" ht="16.15" customHeight="1" thickBot="1" x14ac:dyDescent="0.55000000000000004">
      <x:c r="A41" s="116">
        <x:f>IF(N41=0,"",_xlfn.FLOOR.MATH(RANK(M41,$M$11:$M$131)/4+1+SUMPRODUCT(-(-($M$11:$M$131=M41)),-(-(N41&lt;$N$11:$N$131)))/4))</x:f>
      </x:c>
      <x:c r="B41" s="34" t="s">
        <x:v>92</x:v>
      </x:c>
      <x:c r="C41" s="34" t="n">
        <x:v>3</x:v>
      </x:c>
      <x:c r="E41" s="105" t="s"/>
      <x:c r="G41" s="86">
        <x:f>IF($G$8&lt;&gt;"",$G$8,"")</x:f>
      </x:c>
      <x:c r="H41" s="112" t="s"/>
      <x:c r="I41" s="112" t="s"/>
      <x:c r="J41" s="112" t="s"/>
      <x:c r="K41" s="97">
        <x:f>IF(COUNTBLANK(H41:J41)=0,AVERAGE(H41:J41),-0.000001)</x:f>
      </x:c>
      <x:c r="L41" s="81">
        <x:f>IF(COUNTBLANK(H41:J41)=0,1,0)</x:f>
      </x:c>
      <x:c r="M41" s="84">
        <x:f>SUM(L39:L42)</x:f>
      </x:c>
      <x:c r="N41" s="89">
        <x:f>IF(COUNTIF(K39:K42,"&gt;=0"),ROUND(AVERAGEIF(K39:K42,"&gt;=0"),3),0)</x:f>
      </x:c>
    </x:row>
    <x:row r="42" spans="1:86" customFormat="1" ht="16.15" customHeight="1" thickBot="1" x14ac:dyDescent="0.55000000000000004">
      <x:c r="A42" s="117">
        <x:f>IF(N42=0,"",_xlfn.FLOOR.MATH(RANK(M42,$M$11:$M$131)/4+1+SUMPRODUCT(-(-($M$11:$M$131=M42)),-(-(N42&lt;$N$11:$N$131)))/4))</x:f>
      </x:c>
      <x:c r="B42" s="74" t="s">
        <x:v>92</x:v>
      </x:c>
      <x:c r="C42" s="74" t="n">
        <x:v>4</x:v>
      </x:c>
      <x:c r="D42" s="107" t="s"/>
      <x:c r="E42" s="108" t="s"/>
      <x:c r="F42" s="109" t="s"/>
      <x:c r="G42" s="90">
        <x:f>IF($G$9&lt;&gt;"",$G$9,"")</x:f>
      </x:c>
      <x:c r="H42" s="112" t="s"/>
      <x:c r="I42" s="112" t="s"/>
      <x:c r="J42" s="112" t="s"/>
      <x:c r="K42" s="93">
        <x:f>IF(COUNTBLANK(H42:J42)=0,AVERAGE(H42:J42),-0.000001)</x:f>
      </x:c>
      <x:c r="L42" s="81">
        <x:f>IF(COUNTBLANK(H42:J42)=0,1,0)</x:f>
      </x:c>
      <x:c r="M42" s="94">
        <x:f>SUM(L39:L42)</x:f>
      </x:c>
      <x:c r="N42" s="95">
        <x:f>IF(COUNTIF(K39:K42,"&gt;=0"),ROUND(AVERAGEIF(K39:K42,"&gt;=0"),3),0)</x:f>
      </x:c>
    </x:row>
    <x:row r="43" spans="1:86" customFormat="1" ht="16.15" customHeight="1" thickBot="1" x14ac:dyDescent="0.55000000000000004">
      <x:c r="A43" s="114">
        <x:f>IF(N43=0,"",_xlfn.FLOOR.MATH(RANK(M43,$M$11:$M$131)/4+1+SUMPRODUCT(-(-($M$11:$M$131=M43)),-(-(N43&lt;$N$11:$N$131)))/4))</x:f>
      </x:c>
      <x:c r="B43" s="77" t="s">
        <x:v>92</x:v>
      </x:c>
      <x:c r="C43" s="77" t="n">
        <x:v>1</x:v>
      </x:c>
      <x:c r="D43" s="101" t="s"/>
      <x:c r="E43" s="102" t="s"/>
      <x:c r="F43" s="103" t="s"/>
      <x:c r="G43" s="78">
        <x:f>IF($G$6&lt;&gt;"",$G$6,"")</x:f>
      </x:c>
      <x:c r="H43" s="187" t="s"/>
      <x:c r="I43" s="187" t="s"/>
      <x:c r="J43" s="187" t="s"/>
      <x:c r="K43" s="188">
        <x:f>IF(COUNTBLANK(H43:J43)=0,AVERAGE(H43:J43),-0.000001)</x:f>
      </x:c>
      <x:c r="L43" s="81">
        <x:f>IF(COUNTBLANK(H43:J43)=0,1,0)</x:f>
      </x:c>
      <x:c r="M43" s="81">
        <x:f>SUM(L43:L46)</x:f>
      </x:c>
      <x:c r="N43" s="82">
        <x:f>IF(COUNTIF(K43:K46,"&gt;=0"),ROUND(AVERAGEIF(K43:K46,"&gt;=0"),3),0)</x:f>
      </x:c>
    </x:row>
    <x:row r="44" spans="1:86" customFormat="1" ht="16.15" customHeight="1" thickBot="1" x14ac:dyDescent="0.55000000000000004">
      <x:c r="A44" s="115">
        <x:f>IF(N44=0,"",_xlfn.FLOOR.MATH(RANK(M44,$M$11:$M$131)/4+1+SUMPRODUCT(-(-($M$11:$M$131=M44)),-(-(N44&lt;$N$11:$N$131)))/4))</x:f>
      </x:c>
      <x:c r="B44" s="34" t="s">
        <x:v>92</x:v>
      </x:c>
      <x:c r="C44" s="34" t="n">
        <x:v>2</x:v>
      </x:c>
      <x:c r="D44" s="104" t="s"/>
      <x:c r="E44" s="105" t="s"/>
      <x:c r="F44" s="106" t="s"/>
      <x:c r="G44" s="86">
        <x:f>IF($G$7&lt;&gt;"",$G$7,"")</x:f>
      </x:c>
      <x:c r="H44" s="112" t="s"/>
      <x:c r="I44" s="112" t="s"/>
      <x:c r="J44" s="112" t="s"/>
      <x:c r="K44" s="97">
        <x:f>IF(COUNTBLANK(H44:J44)=0,AVERAGE(H44:J44),-0.000001)</x:f>
      </x:c>
      <x:c r="L44" s="81">
        <x:f>IF(COUNTBLANK(H44:J44)=0,1,0)</x:f>
      </x:c>
      <x:c r="M44" s="84">
        <x:f>SUM(L43:L46)</x:f>
      </x:c>
      <x:c r="N44" s="85">
        <x:f>IF(COUNTIF(K43:K46,"&gt;=0"),ROUND(AVERAGEIF(K43:K46,"&gt;=0"),3),0)</x:f>
      </x:c>
    </x:row>
    <x:row r="45" spans="1:86" customFormat="1" ht="16.15" customHeight="1" thickBot="1" x14ac:dyDescent="0.55000000000000004">
      <x:c r="A45" s="116">
        <x:f>IF(N45=0,"",_xlfn.FLOOR.MATH(RANK(M45,$M$11:$M$131)/4+1+SUMPRODUCT(-(-($M$11:$M$131=M45)),-(-(N45&lt;$N$11:$N$131)))/4))</x:f>
      </x:c>
      <x:c r="B45" s="34" t="s">
        <x:v>92</x:v>
      </x:c>
      <x:c r="C45" s="34" t="n">
        <x:v>3</x:v>
      </x:c>
      <x:c r="E45" s="105" t="s"/>
      <x:c r="G45" s="86">
        <x:f>IF($G$8&lt;&gt;"",$G$8,"")</x:f>
      </x:c>
      <x:c r="H45" s="112" t="s"/>
      <x:c r="I45" s="112" t="s"/>
      <x:c r="J45" s="112" t="s"/>
      <x:c r="K45" s="97">
        <x:f>IF(COUNTBLANK(H45:J45)=0,AVERAGE(H45:J45),-0.000001)</x:f>
      </x:c>
      <x:c r="L45" s="81">
        <x:f>IF(COUNTBLANK(H45:J45)=0,1,0)</x:f>
      </x:c>
      <x:c r="M45" s="84">
        <x:f>SUM(L43:L46)</x:f>
      </x:c>
      <x:c r="N45" s="89">
        <x:f>IF(COUNTIF(K43:K46,"&gt;=0"),ROUND(AVERAGEIF(K43:K46,"&gt;=0"),3),0)</x:f>
      </x:c>
    </x:row>
    <x:row r="46" spans="1:86" customFormat="1" ht="16.15" customHeight="1" thickBot="1" x14ac:dyDescent="0.55000000000000004">
      <x:c r="A46" s="117">
        <x:f>IF(N46=0,"",_xlfn.FLOOR.MATH(RANK(M46,$M$11:$M$131)/4+1+SUMPRODUCT(-(-($M$11:$M$131=M46)),-(-(N46&lt;$N$11:$N$131)))/4))</x:f>
      </x:c>
      <x:c r="B46" s="74" t="s">
        <x:v>92</x:v>
      </x:c>
      <x:c r="C46" s="74" t="n">
        <x:v>4</x:v>
      </x:c>
      <x:c r="D46" s="107" t="s"/>
      <x:c r="E46" s="108" t="s"/>
      <x:c r="F46" s="109" t="s"/>
      <x:c r="G46" s="90">
        <x:f>IF($G$9&lt;&gt;"",$G$9,"")</x:f>
      </x:c>
      <x:c r="H46" s="112" t="s"/>
      <x:c r="I46" s="112" t="s"/>
      <x:c r="J46" s="112" t="s"/>
      <x:c r="K46" s="93">
        <x:f>IF(COUNTBLANK(H46:J46)=0,AVERAGE(H46:J46),-0.000001)</x:f>
      </x:c>
      <x:c r="L46" s="81">
        <x:f>IF(COUNTBLANK(H46:J46)=0,1,0)</x:f>
      </x:c>
      <x:c r="M46" s="94">
        <x:f>SUM(L43:L46)</x:f>
      </x:c>
      <x:c r="N46" s="95">
        <x:f>IF(COUNTIF(K43:K46,"&gt;=0"),ROUND(AVERAGEIF(K43:K46,"&gt;=0"),3),0)</x:f>
      </x:c>
    </x:row>
    <x:row r="47" spans="1:86" customFormat="1" ht="16.15" customHeight="1" thickBot="1" x14ac:dyDescent="0.55000000000000004">
      <x:c r="A47" s="114">
        <x:f>IF(N47=0,"",_xlfn.FLOOR.MATH(RANK(M47,$M$11:$M$131)/4+1+SUMPRODUCT(-(-($M$11:$M$131=M47)),-(-(N47&lt;$N$11:$N$131)))/4))</x:f>
      </x:c>
      <x:c r="B47" s="77" t="s">
        <x:v>92</x:v>
      </x:c>
      <x:c r="C47" s="77" t="n">
        <x:v>1</x:v>
      </x:c>
      <x:c r="D47" s="101" t="s"/>
      <x:c r="E47" s="102" t="s"/>
      <x:c r="F47" s="103" t="s"/>
      <x:c r="G47" s="78">
        <x:f>IF($G$6&lt;&gt;"",$G$6,"")</x:f>
      </x:c>
      <x:c r="H47" s="187" t="s"/>
      <x:c r="I47" s="187" t="s"/>
      <x:c r="J47" s="187" t="s"/>
      <x:c r="K47" s="188">
        <x:f>IF(COUNTBLANK(H47:J47)=0,AVERAGE(H47:J47),-0.000001)</x:f>
      </x:c>
      <x:c r="L47" s="81">
        <x:f>IF(COUNTBLANK(H47:J47)=0,1,0)</x:f>
      </x:c>
      <x:c r="M47" s="81">
        <x:f>SUM(L47:L50)</x:f>
      </x:c>
      <x:c r="N47" s="82">
        <x:f>IF(COUNTIF(K47:K50,"&gt;=0"),ROUND(AVERAGEIF(K47:K50,"&gt;=0"),3),0)</x:f>
      </x:c>
    </x:row>
    <x:row r="48" spans="1:86" customFormat="1" ht="16.15" customHeight="1" thickBot="1" x14ac:dyDescent="0.55000000000000004">
      <x:c r="A48" s="115">
        <x:f>IF(N48=0,"",_xlfn.FLOOR.MATH(RANK(M48,$M$11:$M$131)/4+1+SUMPRODUCT(-(-($M$11:$M$131=M48)),-(-(N48&lt;$N$11:$N$131)))/4))</x:f>
      </x:c>
      <x:c r="B48" s="34" t="s">
        <x:v>92</x:v>
      </x:c>
      <x:c r="C48" s="34" t="n">
        <x:v>2</x:v>
      </x:c>
      <x:c r="D48" s="104" t="s"/>
      <x:c r="E48" s="105" t="s"/>
      <x:c r="F48" s="106" t="s"/>
      <x:c r="G48" s="86">
        <x:f>IF($G$7&lt;&gt;"",$G$7,"")</x:f>
      </x:c>
      <x:c r="H48" s="112" t="s"/>
      <x:c r="I48" s="112" t="s"/>
      <x:c r="J48" s="112" t="s"/>
      <x:c r="K48" s="97">
        <x:f>IF(COUNTBLANK(H48:J48)=0,AVERAGE(H48:J48),-0.000001)</x:f>
      </x:c>
      <x:c r="L48" s="81">
        <x:f>IF(COUNTBLANK(H48:J48)=0,1,0)</x:f>
      </x:c>
      <x:c r="M48" s="84">
        <x:f>SUM(L47:L50)</x:f>
      </x:c>
      <x:c r="N48" s="85">
        <x:f>IF(COUNTIF(K47:K50,"&gt;=0"),ROUND(AVERAGEIF(K47:K50,"&gt;=0"),3),0)</x:f>
      </x:c>
    </x:row>
    <x:row r="49" spans="1:86" customFormat="1" ht="16.15" customHeight="1" thickBot="1" x14ac:dyDescent="0.55000000000000004">
      <x:c r="A49" s="116">
        <x:f>IF(N49=0,"",_xlfn.FLOOR.MATH(RANK(M49,$M$11:$M$131)/4+1+SUMPRODUCT(-(-($M$11:$M$131=M49)),-(-(N49&lt;$N$11:$N$131)))/4))</x:f>
      </x:c>
      <x:c r="B49" s="34" t="s">
        <x:v>92</x:v>
      </x:c>
      <x:c r="C49" s="34" t="n">
        <x:v>3</x:v>
      </x:c>
      <x:c r="E49" s="105" t="s"/>
      <x:c r="G49" s="86">
        <x:f>IF($G$8&lt;&gt;"",$G$8,"")</x:f>
      </x:c>
      <x:c r="H49" s="112" t="s"/>
      <x:c r="I49" s="112" t="s"/>
      <x:c r="J49" s="112" t="s"/>
      <x:c r="K49" s="97">
        <x:f>IF(COUNTBLANK(H49:J49)=0,AVERAGE(H49:J49),-0.000001)</x:f>
      </x:c>
      <x:c r="L49" s="81">
        <x:f>IF(COUNTBLANK(H49:J49)=0,1,0)</x:f>
      </x:c>
      <x:c r="M49" s="84">
        <x:f>SUM(L47:L50)</x:f>
      </x:c>
      <x:c r="N49" s="89">
        <x:f>IF(COUNTIF(K47:K50,"&gt;=0"),ROUND(AVERAGEIF(K47:K50,"&gt;=0"),3),0)</x:f>
      </x:c>
    </x:row>
    <x:row r="50" spans="1:86" customFormat="1" ht="16.15" customHeight="1" thickBot="1" x14ac:dyDescent="0.55000000000000004">
      <x:c r="A50" s="117">
        <x:f>IF(N50=0,"",_xlfn.FLOOR.MATH(RANK(M50,$M$11:$M$131)/4+1+SUMPRODUCT(-(-($M$11:$M$131=M50)),-(-(N50&lt;$N$11:$N$131)))/4))</x:f>
      </x:c>
      <x:c r="B50" s="74" t="s">
        <x:v>92</x:v>
      </x:c>
      <x:c r="C50" s="74" t="n">
        <x:v>4</x:v>
      </x:c>
      <x:c r="D50" s="107" t="s"/>
      <x:c r="E50" s="108" t="s"/>
      <x:c r="F50" s="109" t="s"/>
      <x:c r="G50" s="90">
        <x:f>IF($G$9&lt;&gt;"",$G$9,"")</x:f>
      </x:c>
      <x:c r="H50" s="112" t="s"/>
      <x:c r="I50" s="112" t="s"/>
      <x:c r="J50" s="112" t="s"/>
      <x:c r="K50" s="93">
        <x:f>IF(COUNTBLANK(H50:J50)=0,AVERAGE(H50:J50),-0.000001)</x:f>
      </x:c>
      <x:c r="L50" s="81">
        <x:f>IF(COUNTBLANK(H50:J50)=0,1,0)</x:f>
      </x:c>
      <x:c r="M50" s="94">
        <x:f>SUM(L47:L50)</x:f>
      </x:c>
      <x:c r="N50" s="95">
        <x:f>IF(COUNTIF(K47:K50,"&gt;=0"),ROUND(AVERAGEIF(K47:K50,"&gt;=0"),3),0)</x:f>
      </x:c>
    </x:row>
    <x:row r="51" spans="1:86" customFormat="1" ht="16.15" customHeight="1" thickBot="1" x14ac:dyDescent="0.55000000000000004">
      <x:c r="A51" s="114">
        <x:f>IF(N51=0,"",_xlfn.FLOOR.MATH(RANK(M51,$M$11:$M$131)/4+1+SUMPRODUCT(-(-($M$11:$M$131=M51)),-(-(N51&lt;$N$11:$N$131)))/4))</x:f>
      </x:c>
      <x:c r="B51" s="77" t="s">
        <x:v>92</x:v>
      </x:c>
      <x:c r="C51" s="77" t="n">
        <x:v>1</x:v>
      </x:c>
      <x:c r="D51" s="101" t="s"/>
      <x:c r="E51" s="102" t="s"/>
      <x:c r="F51" s="103" t="s"/>
      <x:c r="G51" s="78">
        <x:f>IF($G$6&lt;&gt;"",$G$6,"")</x:f>
      </x:c>
      <x:c r="H51" s="187" t="s"/>
      <x:c r="I51" s="187" t="s"/>
      <x:c r="J51" s="187" t="s"/>
      <x:c r="K51" s="188">
        <x:f>IF(COUNTBLANK(H51:J51)=0,AVERAGE(H51:J51),-0.000001)</x:f>
      </x:c>
      <x:c r="L51" s="81">
        <x:f>IF(COUNTBLANK(H51:J51)=0,1,0)</x:f>
      </x:c>
      <x:c r="M51" s="81">
        <x:f>SUM(L51:L54)</x:f>
      </x:c>
      <x:c r="N51" s="82">
        <x:f>IF(COUNTIF(K51:K54,"&gt;=0"),ROUND(AVERAGEIF(K51:K54,"&gt;=0"),3),0)</x:f>
      </x:c>
    </x:row>
    <x:row r="52" spans="1:86" customFormat="1" ht="16.15" customHeight="1" thickBot="1" x14ac:dyDescent="0.55000000000000004">
      <x:c r="A52" s="115">
        <x:f>IF(N52=0,"",_xlfn.FLOOR.MATH(RANK(M52,$M$11:$M$131)/4+1+SUMPRODUCT(-(-($M$11:$M$131=M52)),-(-(N52&lt;$N$11:$N$131)))/4))</x:f>
      </x:c>
      <x:c r="B52" s="34" t="s">
        <x:v>92</x:v>
      </x:c>
      <x:c r="C52" s="34" t="n">
        <x:v>2</x:v>
      </x:c>
      <x:c r="D52" s="104" t="s"/>
      <x:c r="E52" s="105" t="s"/>
      <x:c r="F52" s="106" t="s"/>
      <x:c r="G52" s="86">
        <x:f>IF($G$7&lt;&gt;"",$G$7,"")</x:f>
      </x:c>
      <x:c r="H52" s="112" t="s"/>
      <x:c r="I52" s="112" t="s"/>
      <x:c r="J52" s="112" t="s"/>
      <x:c r="K52" s="97">
        <x:f>IF(COUNTBLANK(H52:J52)=0,AVERAGE(H52:J52),-0.000001)</x:f>
      </x:c>
      <x:c r="L52" s="81">
        <x:f>IF(COUNTBLANK(H52:J52)=0,1,0)</x:f>
      </x:c>
      <x:c r="M52" s="84">
        <x:f>SUM(L51:L54)</x:f>
      </x:c>
      <x:c r="N52" s="85">
        <x:f>IF(COUNTIF(K51:K54,"&gt;=0"),ROUND(AVERAGEIF(K51:K54,"&gt;=0"),3),0)</x:f>
      </x:c>
    </x:row>
    <x:row r="53" spans="1:86" customFormat="1" ht="16.15" customHeight="1" thickBot="1" x14ac:dyDescent="0.55000000000000004">
      <x:c r="A53" s="116">
        <x:f>IF(N53=0,"",_xlfn.FLOOR.MATH(RANK(M53,$M$11:$M$131)/4+1+SUMPRODUCT(-(-($M$11:$M$131=M53)),-(-(N53&lt;$N$11:$N$131)))/4))</x:f>
      </x:c>
      <x:c r="B53" s="34" t="s">
        <x:v>92</x:v>
      </x:c>
      <x:c r="C53" s="34" t="n">
        <x:v>3</x:v>
      </x:c>
      <x:c r="E53" s="105" t="s"/>
      <x:c r="G53" s="86">
        <x:f>IF($G$8&lt;&gt;"",$G$8,"")</x:f>
      </x:c>
      <x:c r="H53" s="112" t="s"/>
      <x:c r="I53" s="112" t="s"/>
      <x:c r="J53" s="112" t="s"/>
      <x:c r="K53" s="97">
        <x:f>IF(COUNTBLANK(H53:J53)=0,AVERAGE(H53:J53),-0.000001)</x:f>
      </x:c>
      <x:c r="L53" s="81">
        <x:f>IF(COUNTBLANK(H53:J53)=0,1,0)</x:f>
      </x:c>
      <x:c r="M53" s="84">
        <x:f>SUM(L51:L54)</x:f>
      </x:c>
      <x:c r="N53" s="89">
        <x:f>IF(COUNTIF(K51:K54,"&gt;=0"),ROUND(AVERAGEIF(K51:K54,"&gt;=0"),3),0)</x:f>
      </x:c>
    </x:row>
    <x:row r="54" spans="1:86" customFormat="1" ht="16.15" customHeight="1" thickBot="1" x14ac:dyDescent="0.55000000000000004">
      <x:c r="A54" s="117">
        <x:f>IF(N54=0,"",_xlfn.FLOOR.MATH(RANK(M54,$M$11:$M$131)/4+1+SUMPRODUCT(-(-($M$11:$M$131=M54)),-(-(N54&lt;$N$11:$N$131)))/4))</x:f>
      </x:c>
      <x:c r="B54" s="74" t="s">
        <x:v>92</x:v>
      </x:c>
      <x:c r="C54" s="74" t="n">
        <x:v>4</x:v>
      </x:c>
      <x:c r="D54" s="107" t="s"/>
      <x:c r="E54" s="108" t="s"/>
      <x:c r="F54" s="109" t="s"/>
      <x:c r="G54" s="90">
        <x:f>IF($G$9&lt;&gt;"",$G$9,"")</x:f>
      </x:c>
      <x:c r="H54" s="112" t="s"/>
      <x:c r="I54" s="112" t="s"/>
      <x:c r="J54" s="112" t="s"/>
      <x:c r="K54" s="93">
        <x:f>IF(COUNTBLANK(H54:J54)=0,AVERAGE(H54:J54),-0.000001)</x:f>
      </x:c>
      <x:c r="L54" s="81">
        <x:f>IF(COUNTBLANK(H54:J54)=0,1,0)</x:f>
      </x:c>
      <x:c r="M54" s="94">
        <x:f>SUM(L51:L54)</x:f>
      </x:c>
      <x:c r="N54" s="95">
        <x:f>IF(COUNTIF(K51:K54,"&gt;=0"),ROUND(AVERAGEIF(K51:K54,"&gt;=0"),3),0)</x:f>
      </x:c>
    </x:row>
    <x:row r="55" spans="1:86" customFormat="1" ht="16.15" customHeight="1" thickBot="1" x14ac:dyDescent="0.55000000000000004">
      <x:c r="A55" s="114">
        <x:f>IF(N55=0,"",_xlfn.FLOOR.MATH(RANK(M55,$M$11:$M$131)/4+1+SUMPRODUCT(-(-($M$11:$M$131=M55)),-(-(N55&lt;$N$11:$N$131)))/4))</x:f>
      </x:c>
      <x:c r="B55" s="77" t="s">
        <x:v>92</x:v>
      </x:c>
      <x:c r="C55" s="77" t="n">
        <x:v>1</x:v>
      </x:c>
      <x:c r="D55" s="101" t="s"/>
      <x:c r="E55" s="102" t="s"/>
      <x:c r="F55" s="103" t="s"/>
      <x:c r="G55" s="78">
        <x:f>IF($G$6&lt;&gt;"",$G$6,"")</x:f>
      </x:c>
      <x:c r="H55" s="187" t="s"/>
      <x:c r="I55" s="187" t="s"/>
      <x:c r="J55" s="187" t="s"/>
      <x:c r="K55" s="188">
        <x:f>IF(COUNTBLANK(H55:J55)=0,AVERAGE(H55:J55),-0.000001)</x:f>
      </x:c>
      <x:c r="L55" s="81">
        <x:f>IF(COUNTBLANK(H55:J55)=0,1,0)</x:f>
      </x:c>
      <x:c r="M55" s="81">
        <x:f>SUM(L55:L58)</x:f>
      </x:c>
      <x:c r="N55" s="82">
        <x:f>IF(COUNTIF(K55:K58,"&gt;=0"),ROUND(AVERAGEIF(K55:K58,"&gt;=0"),3),0)</x:f>
      </x:c>
    </x:row>
    <x:row r="56" spans="1:86" customFormat="1" ht="16.15" customHeight="1" thickBot="1" x14ac:dyDescent="0.55000000000000004">
      <x:c r="A56" s="115">
        <x:f>IF(N56=0,"",_xlfn.FLOOR.MATH(RANK(M56,$M$11:$M$131)/4+1+SUMPRODUCT(-(-($M$11:$M$131=M56)),-(-(N56&lt;$N$11:$N$131)))/4))</x:f>
      </x:c>
      <x:c r="B56" s="34" t="s">
        <x:v>92</x:v>
      </x:c>
      <x:c r="C56" s="34" t="n">
        <x:v>2</x:v>
      </x:c>
      <x:c r="D56" s="104" t="s"/>
      <x:c r="E56" s="105" t="s"/>
      <x:c r="F56" s="106" t="s"/>
      <x:c r="G56" s="86">
        <x:f>IF($G$7&lt;&gt;"",$G$7,"")</x:f>
      </x:c>
      <x:c r="H56" s="112" t="s"/>
      <x:c r="I56" s="112" t="s"/>
      <x:c r="J56" s="112" t="s"/>
      <x:c r="K56" s="97">
        <x:f>IF(COUNTBLANK(H56:J56)=0,AVERAGE(H56:J56),-0.000001)</x:f>
      </x:c>
      <x:c r="L56" s="81">
        <x:f>IF(COUNTBLANK(H56:J56)=0,1,0)</x:f>
      </x:c>
      <x:c r="M56" s="84">
        <x:f>SUM(L55:L58)</x:f>
      </x:c>
      <x:c r="N56" s="85">
        <x:f>IF(COUNTIF(K55:K58,"&gt;=0"),ROUND(AVERAGEIF(K55:K58,"&gt;=0"),3),0)</x:f>
      </x:c>
    </x:row>
    <x:row r="57" spans="1:86" customFormat="1" ht="16.15" customHeight="1" thickBot="1" x14ac:dyDescent="0.55000000000000004">
      <x:c r="A57" s="116">
        <x:f>IF(N57=0,"",_xlfn.FLOOR.MATH(RANK(M57,$M$11:$M$131)/4+1+SUMPRODUCT(-(-($M$11:$M$131=M57)),-(-(N57&lt;$N$11:$N$131)))/4))</x:f>
      </x:c>
      <x:c r="B57" s="34" t="s">
        <x:v>92</x:v>
      </x:c>
      <x:c r="C57" s="34" t="n">
        <x:v>3</x:v>
      </x:c>
      <x:c r="E57" s="105" t="s"/>
      <x:c r="G57" s="86">
        <x:f>IF($G$8&lt;&gt;"",$G$8,"")</x:f>
      </x:c>
      <x:c r="H57" s="112" t="s"/>
      <x:c r="I57" s="112" t="s"/>
      <x:c r="J57" s="112" t="s"/>
      <x:c r="K57" s="97">
        <x:f>IF(COUNTBLANK(H57:J57)=0,AVERAGE(H57:J57),-0.000001)</x:f>
      </x:c>
      <x:c r="L57" s="81">
        <x:f>IF(COUNTBLANK(H57:J57)=0,1,0)</x:f>
      </x:c>
      <x:c r="M57" s="84">
        <x:f>SUM(L55:L58)</x:f>
      </x:c>
      <x:c r="N57" s="89">
        <x:f>IF(COUNTIF(K55:K58,"&gt;=0"),ROUND(AVERAGEIF(K55:K58,"&gt;=0"),3),0)</x:f>
      </x:c>
    </x:row>
    <x:row r="58" spans="1:86" customFormat="1" ht="16.15" customHeight="1" thickBot="1" x14ac:dyDescent="0.55000000000000004">
      <x:c r="A58" s="117">
        <x:f>IF(N58=0,"",_xlfn.FLOOR.MATH(RANK(M58,$M$11:$M$131)/4+1+SUMPRODUCT(-(-($M$11:$M$131=M58)),-(-(N58&lt;$N$11:$N$131)))/4))</x:f>
      </x:c>
      <x:c r="B58" s="74" t="s">
        <x:v>92</x:v>
      </x:c>
      <x:c r="C58" s="74" t="n">
        <x:v>4</x:v>
      </x:c>
      <x:c r="D58" s="107" t="s"/>
      <x:c r="E58" s="108" t="s"/>
      <x:c r="F58" s="109" t="s"/>
      <x:c r="G58" s="90">
        <x:f>IF($G$9&lt;&gt;"",$G$9,"")</x:f>
      </x:c>
      <x:c r="H58" s="112" t="s"/>
      <x:c r="I58" s="112" t="s"/>
      <x:c r="J58" s="112" t="s"/>
      <x:c r="K58" s="93">
        <x:f>IF(COUNTBLANK(H58:J58)=0,AVERAGE(H58:J58),-0.000001)</x:f>
      </x:c>
      <x:c r="L58" s="81">
        <x:f>IF(COUNTBLANK(H58:J58)=0,1,0)</x:f>
      </x:c>
      <x:c r="M58" s="94">
        <x:f>SUM(L55:L58)</x:f>
      </x:c>
      <x:c r="N58" s="95">
        <x:f>IF(COUNTIF(K55:K58,"&gt;=0"),ROUND(AVERAGEIF(K55:K58,"&gt;=0"),3),0)</x:f>
      </x:c>
    </x:row>
    <x:row r="59" spans="1:86" customFormat="1" ht="16.15" customHeight="1" thickBot="1" x14ac:dyDescent="0.55000000000000004">
      <x:c r="A59" s="114">
        <x:f>IF(N59=0,"",_xlfn.FLOOR.MATH(RANK(M59,$M$11:$M$131)/4+1+SUMPRODUCT(-(-($M$11:$M$131=M59)),-(-(N59&lt;$N$11:$N$131)))/4))</x:f>
      </x:c>
      <x:c r="B59" s="77" t="s">
        <x:v>92</x:v>
      </x:c>
      <x:c r="C59" s="77" t="n">
        <x:v>1</x:v>
      </x:c>
      <x:c r="D59" s="101" t="s"/>
      <x:c r="E59" s="102" t="s"/>
      <x:c r="F59" s="103" t="s"/>
      <x:c r="G59" s="78">
        <x:f>IF($G$6&lt;&gt;"",$G$6,"")</x:f>
      </x:c>
      <x:c r="H59" s="187" t="s"/>
      <x:c r="I59" s="187" t="s"/>
      <x:c r="J59" s="187" t="s"/>
      <x:c r="K59" s="188">
        <x:f>IF(COUNTBLANK(H59:J59)=0,AVERAGE(H59:J59),-0.000001)</x:f>
      </x:c>
      <x:c r="L59" s="81">
        <x:f>IF(COUNTBLANK(H59:J59)=0,1,0)</x:f>
      </x:c>
      <x:c r="M59" s="81">
        <x:f>SUM(L59:L62)</x:f>
      </x:c>
      <x:c r="N59" s="82">
        <x:f>IF(COUNTIF(K59:K62,"&gt;=0"),ROUND(AVERAGEIF(K59:K62,"&gt;=0"),3),0)</x:f>
      </x:c>
    </x:row>
    <x:row r="60" spans="1:86" customFormat="1" ht="16.15" customHeight="1" thickBot="1" x14ac:dyDescent="0.55000000000000004">
      <x:c r="A60" s="115">
        <x:f>IF(N60=0,"",_xlfn.FLOOR.MATH(RANK(M60,$M$11:$M$131)/4+1+SUMPRODUCT(-(-($M$11:$M$131=M60)),-(-(N60&lt;$N$11:$N$131)))/4))</x:f>
      </x:c>
      <x:c r="B60" s="34" t="s">
        <x:v>92</x:v>
      </x:c>
      <x:c r="C60" s="34" t="n">
        <x:v>2</x:v>
      </x:c>
      <x:c r="D60" s="104" t="s"/>
      <x:c r="E60" s="105" t="s"/>
      <x:c r="F60" s="106" t="s"/>
      <x:c r="G60" s="86">
        <x:f>IF($G$7&lt;&gt;"",$G$7,"")</x:f>
      </x:c>
      <x:c r="H60" s="112" t="s"/>
      <x:c r="I60" s="112" t="s"/>
      <x:c r="J60" s="112" t="s"/>
      <x:c r="K60" s="97">
        <x:f>IF(COUNTBLANK(H60:J60)=0,AVERAGE(H60:J60),-0.000001)</x:f>
      </x:c>
      <x:c r="L60" s="81">
        <x:f>IF(COUNTBLANK(H60:J60)=0,1,0)</x:f>
      </x:c>
      <x:c r="M60" s="84">
        <x:f>SUM(L59:L62)</x:f>
      </x:c>
      <x:c r="N60" s="85">
        <x:f>IF(COUNTIF(K59:K62,"&gt;=0"),ROUND(AVERAGEIF(K59:K62,"&gt;=0"),3),0)</x:f>
      </x:c>
    </x:row>
    <x:row r="61" spans="1:86" customFormat="1" ht="16.15" customHeight="1" thickBot="1" x14ac:dyDescent="0.55000000000000004">
      <x:c r="A61" s="116">
        <x:f>IF(N61=0,"",_xlfn.FLOOR.MATH(RANK(M61,$M$11:$M$131)/4+1+SUMPRODUCT(-(-($M$11:$M$131=M61)),-(-(N61&lt;$N$11:$N$131)))/4))</x:f>
      </x:c>
      <x:c r="B61" s="34" t="s">
        <x:v>92</x:v>
      </x:c>
      <x:c r="C61" s="34" t="n">
        <x:v>3</x:v>
      </x:c>
      <x:c r="E61" s="105" t="s"/>
      <x:c r="G61" s="86">
        <x:f>IF($G$8&lt;&gt;"",$G$8,"")</x:f>
      </x:c>
      <x:c r="H61" s="112" t="s"/>
      <x:c r="I61" s="112" t="s"/>
      <x:c r="J61" s="112" t="s"/>
      <x:c r="K61" s="97">
        <x:f>IF(COUNTBLANK(H61:J61)=0,AVERAGE(H61:J61),-0.000001)</x:f>
      </x:c>
      <x:c r="L61" s="81">
        <x:f>IF(COUNTBLANK(H61:J61)=0,1,0)</x:f>
      </x:c>
      <x:c r="M61" s="84">
        <x:f>SUM(L59:L62)</x:f>
      </x:c>
      <x:c r="N61" s="89">
        <x:f>IF(COUNTIF(K59:K62,"&gt;=0"),ROUND(AVERAGEIF(K59:K62,"&gt;=0"),3),0)</x:f>
      </x:c>
    </x:row>
    <x:row r="62" spans="1:86" customFormat="1" ht="16.15" customHeight="1" thickBot="1" x14ac:dyDescent="0.55000000000000004">
      <x:c r="A62" s="117">
        <x:f>IF(N62=0,"",_xlfn.FLOOR.MATH(RANK(M62,$M$11:$M$131)/4+1+SUMPRODUCT(-(-($M$11:$M$131=M62)),-(-(N62&lt;$N$11:$N$131)))/4))</x:f>
      </x:c>
      <x:c r="B62" s="74" t="s">
        <x:v>92</x:v>
      </x:c>
      <x:c r="C62" s="74" t="n">
        <x:v>4</x:v>
      </x:c>
      <x:c r="D62" s="107" t="s"/>
      <x:c r="E62" s="108" t="s"/>
      <x:c r="F62" s="109" t="s"/>
      <x:c r="G62" s="90">
        <x:f>IF($G$9&lt;&gt;"",$G$9,"")</x:f>
      </x:c>
      <x:c r="H62" s="112" t="s"/>
      <x:c r="I62" s="112" t="s"/>
      <x:c r="J62" s="112" t="s"/>
      <x:c r="K62" s="93">
        <x:f>IF(COUNTBLANK(H62:J62)=0,AVERAGE(H62:J62),-0.000001)</x:f>
      </x:c>
      <x:c r="L62" s="81">
        <x:f>IF(COUNTBLANK(H62:J62)=0,1,0)</x:f>
      </x:c>
      <x:c r="M62" s="94">
        <x:f>SUM(L59:L62)</x:f>
      </x:c>
      <x:c r="N62" s="95">
        <x:f>IF(COUNTIF(K59:K62,"&gt;=0"),ROUND(AVERAGEIF(K59:K62,"&gt;=0"),3),0)</x:f>
      </x:c>
    </x:row>
    <x:row r="63" spans="1:86" customFormat="1" ht="16.15" customHeight="1" thickBot="1" x14ac:dyDescent="0.55000000000000004">
      <x:c r="A63" s="114">
        <x:f>IF(N63=0,"",_xlfn.FLOOR.MATH(RANK(M63,$M$11:$M$131)/4+1+SUMPRODUCT(-(-($M$11:$M$131=M63)),-(-(N63&lt;$N$11:$N$131)))/4))</x:f>
      </x:c>
      <x:c r="B63" s="77" t="s">
        <x:v>92</x:v>
      </x:c>
      <x:c r="C63" s="77" t="n">
        <x:v>1</x:v>
      </x:c>
      <x:c r="D63" s="101" t="s"/>
      <x:c r="E63" s="102" t="s"/>
      <x:c r="F63" s="103" t="s"/>
      <x:c r="G63" s="78">
        <x:f>IF($G$6&lt;&gt;"",$G$6,"")</x:f>
      </x:c>
      <x:c r="H63" s="187" t="s"/>
      <x:c r="I63" s="187" t="s"/>
      <x:c r="J63" s="187" t="s"/>
      <x:c r="K63" s="188">
        <x:f>IF(COUNTBLANK(H63:J63)=0,AVERAGE(H63:J63),-0.000001)</x:f>
      </x:c>
      <x:c r="L63" s="81">
        <x:f>IF(COUNTBLANK(H63:J63)=0,1,0)</x:f>
      </x:c>
      <x:c r="M63" s="81">
        <x:f>SUM(L63:L66)</x:f>
      </x:c>
      <x:c r="N63" s="82">
        <x:f>IF(COUNTIF(K63:K66,"&gt;=0"),ROUND(AVERAGEIF(K63:K66,"&gt;=0"),3),0)</x:f>
      </x:c>
    </x:row>
    <x:row r="64" spans="1:86" customFormat="1" ht="16.15" customHeight="1" thickBot="1" x14ac:dyDescent="0.55000000000000004">
      <x:c r="A64" s="115">
        <x:f>IF(N64=0,"",_xlfn.FLOOR.MATH(RANK(M64,$M$11:$M$131)/4+1+SUMPRODUCT(-(-($M$11:$M$131=M64)),-(-(N64&lt;$N$11:$N$131)))/4))</x:f>
      </x:c>
      <x:c r="B64" s="34" t="s">
        <x:v>92</x:v>
      </x:c>
      <x:c r="C64" s="34" t="n">
        <x:v>2</x:v>
      </x:c>
      <x:c r="D64" s="104" t="s"/>
      <x:c r="E64" s="105" t="s"/>
      <x:c r="F64" s="106" t="s"/>
      <x:c r="G64" s="86">
        <x:f>IF($G$7&lt;&gt;"",$G$7,"")</x:f>
      </x:c>
      <x:c r="H64" s="112" t="s"/>
      <x:c r="I64" s="112" t="s"/>
      <x:c r="J64" s="112" t="s"/>
      <x:c r="K64" s="97">
        <x:f>IF(COUNTBLANK(H64:J64)=0,AVERAGE(H64:J64),-0.000001)</x:f>
      </x:c>
      <x:c r="L64" s="81">
        <x:f>IF(COUNTBLANK(H64:J64)=0,1,0)</x:f>
      </x:c>
      <x:c r="M64" s="84">
        <x:f>SUM(L63:L66)</x:f>
      </x:c>
      <x:c r="N64" s="85">
        <x:f>IF(COUNTIF(K63:K66,"&gt;=0"),ROUND(AVERAGEIF(K63:K66,"&gt;=0"),3),0)</x:f>
      </x:c>
    </x:row>
    <x:row r="65" spans="1:86" customFormat="1" ht="16.15" customHeight="1" thickBot="1" x14ac:dyDescent="0.55000000000000004">
      <x:c r="A65" s="116">
        <x:f>IF(N65=0,"",_xlfn.FLOOR.MATH(RANK(M65,$M$11:$M$131)/4+1+SUMPRODUCT(-(-($M$11:$M$131=M65)),-(-(N65&lt;$N$11:$N$131)))/4))</x:f>
      </x:c>
      <x:c r="B65" s="34" t="s">
        <x:v>92</x:v>
      </x:c>
      <x:c r="C65" s="34" t="n">
        <x:v>3</x:v>
      </x:c>
      <x:c r="E65" s="105" t="s"/>
      <x:c r="G65" s="86">
        <x:f>IF($G$8&lt;&gt;"",$G$8,"")</x:f>
      </x:c>
      <x:c r="H65" s="112" t="s"/>
      <x:c r="I65" s="112" t="s"/>
      <x:c r="J65" s="112" t="s"/>
      <x:c r="K65" s="97">
        <x:f>IF(COUNTBLANK(H65:J65)=0,AVERAGE(H65:J65),-0.000001)</x:f>
      </x:c>
      <x:c r="L65" s="81">
        <x:f>IF(COUNTBLANK(H65:J65)=0,1,0)</x:f>
      </x:c>
      <x:c r="M65" s="84">
        <x:f>SUM(L63:L66)</x:f>
      </x:c>
      <x:c r="N65" s="89">
        <x:f>IF(COUNTIF(K63:K66,"&gt;=0"),ROUND(AVERAGEIF(K63:K66,"&gt;=0"),3),0)</x:f>
      </x:c>
    </x:row>
    <x:row r="66" spans="1:86" customFormat="1" ht="16.15" customHeight="1" thickBot="1" x14ac:dyDescent="0.55000000000000004">
      <x:c r="A66" s="117">
        <x:f>IF(N66=0,"",_xlfn.FLOOR.MATH(RANK(M66,$M$11:$M$131)/4+1+SUMPRODUCT(-(-($M$11:$M$131=M66)),-(-(N66&lt;$N$11:$N$131)))/4))</x:f>
      </x:c>
      <x:c r="B66" s="74" t="s">
        <x:v>92</x:v>
      </x:c>
      <x:c r="C66" s="74" t="n">
        <x:v>4</x:v>
      </x:c>
      <x:c r="D66" s="107" t="s"/>
      <x:c r="E66" s="108" t="s"/>
      <x:c r="F66" s="109" t="s"/>
      <x:c r="G66" s="90">
        <x:f>IF($G$9&lt;&gt;"",$G$9,"")</x:f>
      </x:c>
      <x:c r="H66" s="112" t="s"/>
      <x:c r="I66" s="112" t="s"/>
      <x:c r="J66" s="112" t="s"/>
      <x:c r="K66" s="93">
        <x:f>IF(COUNTBLANK(H66:J66)=0,AVERAGE(H66:J66),-0.000001)</x:f>
      </x:c>
      <x:c r="L66" s="81">
        <x:f>IF(COUNTBLANK(H66:J66)=0,1,0)</x:f>
      </x:c>
      <x:c r="M66" s="94">
        <x:f>SUM(L63:L66)</x:f>
      </x:c>
      <x:c r="N66" s="95">
        <x:f>IF(COUNTIF(K63:K66,"&gt;=0"),ROUND(AVERAGEIF(K63:K66,"&gt;=0"),3),0)</x:f>
      </x:c>
    </x:row>
    <x:row r="67" spans="1:86" customFormat="1" ht="16.15" customHeight="1" thickBot="1" x14ac:dyDescent="0.55000000000000004">
      <x:c r="A67" s="114">
        <x:f>IF(N67=0,"",_xlfn.FLOOR.MATH(RANK(M67,$M$11:$M$131)/4+1+SUMPRODUCT(-(-($M$11:$M$131=M67)),-(-(N67&lt;$N$11:$N$131)))/4))</x:f>
      </x:c>
      <x:c r="B67" s="77" t="s">
        <x:v>92</x:v>
      </x:c>
      <x:c r="C67" s="77" t="n">
        <x:v>1</x:v>
      </x:c>
      <x:c r="D67" s="101" t="s"/>
      <x:c r="E67" s="102" t="s"/>
      <x:c r="F67" s="103" t="s"/>
      <x:c r="G67" s="78">
        <x:f>IF($G$6&lt;&gt;"",$G$6,"")</x:f>
      </x:c>
      <x:c r="H67" s="187" t="s"/>
      <x:c r="I67" s="187" t="s"/>
      <x:c r="J67" s="187" t="s"/>
      <x:c r="K67" s="188">
        <x:f>IF(COUNTBLANK(H67:J67)=0,AVERAGE(H67:J67),-0.000001)</x:f>
      </x:c>
      <x:c r="L67" s="81">
        <x:f>IF(COUNTBLANK(H67:J67)=0,1,0)</x:f>
      </x:c>
      <x:c r="M67" s="81">
        <x:f>SUM(L67:L70)</x:f>
      </x:c>
      <x:c r="N67" s="82">
        <x:f>IF(COUNTIF(K67:K70,"&gt;=0"),ROUND(AVERAGEIF(K67:K70,"&gt;=0"),3),0)</x:f>
      </x:c>
    </x:row>
    <x:row r="68" spans="1:86" customFormat="1" ht="16.15" customHeight="1" thickBot="1" x14ac:dyDescent="0.55000000000000004">
      <x:c r="A68" s="115">
        <x:f>IF(N68=0,"",_xlfn.FLOOR.MATH(RANK(M68,$M$11:$M$131)/4+1+SUMPRODUCT(-(-($M$11:$M$131=M68)),-(-(N68&lt;$N$11:$N$131)))/4))</x:f>
      </x:c>
      <x:c r="B68" s="34" t="s">
        <x:v>92</x:v>
      </x:c>
      <x:c r="C68" s="34" t="n">
        <x:v>2</x:v>
      </x:c>
      <x:c r="D68" s="104" t="s"/>
      <x:c r="E68" s="105" t="s"/>
      <x:c r="F68" s="106" t="s"/>
      <x:c r="G68" s="86">
        <x:f>IF($G$7&lt;&gt;"",$G$7,"")</x:f>
      </x:c>
      <x:c r="H68" s="112" t="s"/>
      <x:c r="I68" s="112" t="s"/>
      <x:c r="J68" s="112" t="s"/>
      <x:c r="K68" s="97">
        <x:f>IF(COUNTBLANK(H68:J68)=0,AVERAGE(H68:J68),-0.000001)</x:f>
      </x:c>
      <x:c r="L68" s="81">
        <x:f>IF(COUNTBLANK(H68:J68)=0,1,0)</x:f>
      </x:c>
      <x:c r="M68" s="84">
        <x:f>SUM(L67:L70)</x:f>
      </x:c>
      <x:c r="N68" s="85">
        <x:f>IF(COUNTIF(K67:K70,"&gt;=0"),ROUND(AVERAGEIF(K67:K70,"&gt;=0"),3),0)</x:f>
      </x:c>
    </x:row>
    <x:row r="69" spans="1:86" customFormat="1" ht="16.15" customHeight="1" thickBot="1" x14ac:dyDescent="0.55000000000000004">
      <x:c r="A69" s="116">
        <x:f>IF(N69=0,"",_xlfn.FLOOR.MATH(RANK(M69,$M$11:$M$131)/4+1+SUMPRODUCT(-(-($M$11:$M$131=M69)),-(-(N69&lt;$N$11:$N$131)))/4))</x:f>
      </x:c>
      <x:c r="B69" s="34" t="s">
        <x:v>92</x:v>
      </x:c>
      <x:c r="C69" s="34" t="n">
        <x:v>3</x:v>
      </x:c>
      <x:c r="E69" s="105" t="s"/>
      <x:c r="G69" s="86">
        <x:f>IF($G$8&lt;&gt;"",$G$8,"")</x:f>
      </x:c>
      <x:c r="H69" s="112" t="s"/>
      <x:c r="I69" s="112" t="s"/>
      <x:c r="J69" s="112" t="s"/>
      <x:c r="K69" s="97">
        <x:f>IF(COUNTBLANK(H69:J69)=0,AVERAGE(H69:J69),-0.000001)</x:f>
      </x:c>
      <x:c r="L69" s="81">
        <x:f>IF(COUNTBLANK(H69:J69)=0,1,0)</x:f>
      </x:c>
      <x:c r="M69" s="84">
        <x:f>SUM(L67:L70)</x:f>
      </x:c>
      <x:c r="N69" s="89">
        <x:f>IF(COUNTIF(K67:K70,"&gt;=0"),ROUND(AVERAGEIF(K67:K70,"&gt;=0"),3),0)</x:f>
      </x:c>
    </x:row>
    <x:row r="70" spans="1:86" customFormat="1" ht="16.15" customHeight="1" thickBot="1" x14ac:dyDescent="0.55000000000000004">
      <x:c r="A70" s="117">
        <x:f>IF(N70=0,"",_xlfn.FLOOR.MATH(RANK(M70,$M$11:$M$131)/4+1+SUMPRODUCT(-(-($M$11:$M$131=M70)),-(-(N70&lt;$N$11:$N$131)))/4))</x:f>
      </x:c>
      <x:c r="B70" s="74" t="s">
        <x:v>92</x:v>
      </x:c>
      <x:c r="C70" s="74" t="n">
        <x:v>4</x:v>
      </x:c>
      <x:c r="D70" s="107" t="s"/>
      <x:c r="E70" s="108" t="s"/>
      <x:c r="F70" s="109" t="s"/>
      <x:c r="G70" s="90">
        <x:f>IF($G$9&lt;&gt;"",$G$9,"")</x:f>
      </x:c>
      <x:c r="H70" s="112" t="s"/>
      <x:c r="I70" s="112" t="s"/>
      <x:c r="J70" s="112" t="s"/>
      <x:c r="K70" s="93">
        <x:f>IF(COUNTBLANK(H70:J70)=0,AVERAGE(H70:J70),-0.000001)</x:f>
      </x:c>
      <x:c r="L70" s="81">
        <x:f>IF(COUNTBLANK(H70:J70)=0,1,0)</x:f>
      </x:c>
      <x:c r="M70" s="94">
        <x:f>SUM(L67:L70)</x:f>
      </x:c>
      <x:c r="N70" s="95">
        <x:f>IF(COUNTIF(K67:K70,"&gt;=0"),ROUND(AVERAGEIF(K67:K70,"&gt;=0"),3),0)</x:f>
      </x:c>
    </x:row>
  </x:sheetData>
  <x:sheetProtection algorithmName="SHA-512" hashValue="HV8mLsjkelSUICPCteX80elqHe2RMoIgxju7jvA1b5bSAOIlW0wLXVR9ho21NDOqircN95eTvpxhP1nkWLjuVQ==" saltValue="U6WIYCC28/rG6wCiE6JGXg==" spinCount="100000" sheet="1" objects="1"/>
  <x:mergeCells count="3">
    <x:mergeCell ref="B1:C1"/>
    <x:mergeCell ref="B2:C2"/>
    <x:mergeCell ref="B3:C3"/>
  </x:mergeCells>
  <x:conditionalFormatting sqref="H11:J70">
    <x:cfRule type="expression" priority="1" stopIfTrue="1" operator="equal">
      <x:formula>COUNTBLANK($G11)=1</x:formula>
    </x:cfRule>
    <x:cfRule type="containsBlanks" dxfId="0" priority="2">
      <x:formula>LEN(TRIM(H11))=0</x:formula>
    </x:cfRule>
  </x:conditionalFormatting>
  <x:dataValidations disablePrompts="1" count="2">
    <x:dataValidation type="decimal" errorStyle="stop" operator="between" allowBlank="1" showDropDown="0" showInputMessage="1" showErrorMessage="1" errorTitle="Illegal input value" error="Please enter a value between 0 and 10" promptTitle="" prompt="" sqref="H11:M70">
      <x:formula1>-0.000001</x:formula1>
      <x:formula2>10</x:formula2>
    </x:dataValidation>
    <x:dataValidation type="decimal" errorStyle="stop" operator="between" allowBlank="1" showDropDown="0" showInputMessage="1" showErrorMessage="1" errorTitle="" error="" promptTitle="" prompt="" sqref="N12:N14 N16:N18 N20:N22 N24:N26 N28:N30 N32:N34 N36:N38 N40:N42 N44:N46 N48:N50 N52:N54 N56:N58 N60:N62 N64:N66 N68:N70">
      <x:formula1>0</x:formula1>
      <x:formula2>10</x:formula2>
    </x:dataValidation>
  </x:dataValidations>
  <x:printOptions horizontalCentered="0" verticalCentered="0" headings="0" gridLines="0"/>
  <x:pageMargins left="0.70866141732283472" right="0.70866141732283472" top="0.74803149606299213" bottom="0.74803149606299213" header="0.31496062992125984" footer="0.31496062992125984"/>
  <x:pageSetup paperSize="9" pageOrder="downThenOver" orientation="portrait" blackAndWhite="0" draft="0" cellComments="none" errors="displayed" r:id="rId1"/>
  <x:headerFooter differentOddEven="0" differentFirst="0" scaleWithDoc="1" alignWithMargins="1">
    <x:oddHeader>&amp;C&amp;"-,Fet"&amp;22Resultat Lätt klass individuell - trähäst&amp;RVer.2020-01-06</x:oddHeader>
    <x:oddFooter>&amp;LGrund
A: 
B: 
C: 
D: &amp;CKür
A: 
B: 
C: 
D: </x:oddFooter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6</vt:i4>
      </vt:variant>
      <vt:variant>
        <vt:lpstr>Named Ranges</vt:lpstr>
      </vt:variant>
      <vt:variant>
        <vt:i4>33</vt:i4>
      </vt:variant>
    </vt:vector>
  </ap:HeadingPairs>
  <ap:TitlesOfParts>
    <vt:vector baseType="lpstr" size="39">
      <vt:lpstr>Information</vt:lpstr>
      <vt:lpstr>Grund 0 star</vt:lpstr>
      <vt:lpstr>Lätt klass indv kür</vt:lpstr>
      <vt:lpstr>1 domare </vt:lpstr>
      <vt:lpstr>2 domare</vt:lpstr>
      <vt:lpstr>3 domare</vt:lpstr>
      <vt:lpstr>Information!Print_Area</vt:lpstr>
      <vt:lpstr>Information!Print_Titles</vt:lpstr>
      <vt:lpstr>Grund 0 star!armnr</vt:lpstr>
      <vt:lpstr>Grund 0 star!bord</vt:lpstr>
      <vt:lpstr>Grund 0 star!datum</vt:lpstr>
      <vt:lpstr>Grund 0 star!domare</vt:lpstr>
      <vt:lpstr>Grund 0 star!firstvaulter</vt:lpstr>
      <vt:lpstr>Grund 0 star!Hästpoäng</vt:lpstr>
      <vt:lpstr>Grund 0 star!id</vt:lpstr>
      <vt:lpstr>Grund 0 star!klass</vt:lpstr>
      <vt:lpstr>Grund 0 star!moment</vt:lpstr>
      <vt:lpstr>Grund 0 star!result</vt:lpstr>
      <vt:lpstr>Grund 0 star!Print_Area</vt:lpstr>
      <vt:lpstr>Grund 0 star!Print_Titles</vt:lpstr>
      <vt:lpstr>Lätt klass indv kür!armnr</vt:lpstr>
      <vt:lpstr>Lätt klass indv kür!bord</vt:lpstr>
      <vt:lpstr>Lätt klass indv kür!datum</vt:lpstr>
      <vt:lpstr>Lätt klass indv kür!domare</vt:lpstr>
      <vt:lpstr>Lätt klass indv kür!firstvaulter</vt:lpstr>
      <vt:lpstr>Lätt klass indv kür!Hästpoäng</vt:lpstr>
      <vt:lpstr>Lätt klass indv kür!id</vt:lpstr>
      <vt:lpstr>Lätt klass indv kür!klass</vt:lpstr>
      <vt:lpstr>Lätt klass indv kür!moment</vt:lpstr>
      <vt:lpstr>Lätt klass indv kür!result</vt:lpstr>
      <vt:lpstr>Lätt klass indv kür!Print_Area</vt:lpstr>
      <vt:lpstr>Lätt klass indv kür!Print_Titles</vt:lpstr>
      <vt:lpstr>1 domare !Print_Area</vt:lpstr>
      <vt:lpstr>1 domare !Print_Titles</vt:lpstr>
      <vt:lpstr>2 domare!Print_Area</vt:lpstr>
      <vt:lpstr>2 domare!Print_Titles</vt:lpstr>
      <vt:lpstr>3 domare!Print_Area</vt:lpstr>
      <vt:lpstr>3 domare!Print_Titles</vt:lpstr>
      <vt:lpstr>Antal_tävlingsdagar</vt:lpstr>
    </vt:vector>
  </ap:TitlesOfParts>
  <ap:Company>Citygymnasiet</ap:Company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anan</dc:creator>
  <lastModifiedBy>Magnus Sandberg</lastModifiedBy>
  <lastPrinted>2023-02-06T18:17:58.0000000Z</lastPrinted>
  <dcterms:created xsi:type="dcterms:W3CDTF">2014-09-06T17:34:17.0000000Z</dcterms:created>
  <dcterms:modified xsi:type="dcterms:W3CDTF">2026-03-15T11:25:10.2967176Z</dcterms:modified>
</coreProperties>
</file>