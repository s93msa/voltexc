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piserver\voltige\VoltigeClosedXML\mallar\import\Uppsala okt 2025\"/>
    </mc:Choice>
  </mc:AlternateContent>
  <xr:revisionPtr revIDLastSave="0" documentId="13_ncr:1_{A54A6446-14D5-4016-8BB8-2CB6EA230ABA}" xr6:coauthVersionLast="47" xr6:coauthVersionMax="47" xr10:uidLastSave="{00000000-0000-0000-0000-000000000000}"/>
  <bookViews>
    <workbookView xWindow="43080" yWindow="-120" windowWidth="38640" windowHeight="21240" tabRatio="584" activeTab="8" xr2:uid="{9C6C5895-3CBC-495A-8EC3-24DF642F0EB2}"/>
  </bookViews>
  <sheets>
    <sheet name="startlista" sheetId="9" r:id="rId1"/>
    <sheet name="startlisteklasser" sheetId="8" r:id="rId2"/>
    <sheet name="ekipage" sheetId="1" r:id="rId3"/>
    <sheet name="klasser" sheetId="2" r:id="rId4"/>
    <sheet name="linförare" sheetId="3" r:id="rId5"/>
    <sheet name="reservhästar" sheetId="7" r:id="rId6"/>
    <sheet name="hästar" sheetId="4" r:id="rId7"/>
    <sheet name="klubbar" sheetId="5" r:id="rId8"/>
    <sheet name="voltigörer" sheetId="6" r:id="rId9"/>
  </sheets>
  <definedNames>
    <definedName name="_xlnm._FilterDatabase" localSheetId="8" hidden="1">voltigörer!$A$1:$K$111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2" i="6" l="1" a="1"/>
  <c r="J62" i="6" s="1"/>
  <c r="J65" i="6" a="1"/>
  <c r="J65" i="6" s="1"/>
  <c r="J53" i="6" a="1"/>
  <c r="J53" i="6" s="1"/>
  <c r="J56" i="6" a="1"/>
  <c r="J56" i="6" s="1"/>
  <c r="J52" i="6" a="1"/>
  <c r="J52" i="6" s="1"/>
  <c r="J2" i="6" a="1"/>
  <c r="J2" i="6" s="1"/>
  <c r="J1" i="6" a="1"/>
  <c r="J1" i="6" s="1"/>
  <c r="J3" i="6" a="1"/>
  <c r="J3" i="6" s="1"/>
  <c r="J5" i="6" a="1"/>
  <c r="J5" i="6" s="1"/>
  <c r="J6" i="6" a="1"/>
  <c r="J6" i="6" s="1"/>
  <c r="J7" i="6" a="1"/>
  <c r="J7" i="6" s="1"/>
  <c r="J4" i="6" a="1"/>
  <c r="J4" i="6" s="1"/>
  <c r="J8" i="6" a="1"/>
  <c r="J8" i="6" s="1"/>
  <c r="J16" i="6" a="1"/>
  <c r="J16" i="6" s="1"/>
  <c r="J17" i="6" a="1"/>
  <c r="J17" i="6" s="1"/>
  <c r="J15" i="6" a="1"/>
  <c r="J15" i="6" s="1"/>
  <c r="J11" i="6" a="1"/>
  <c r="J11" i="6" s="1"/>
  <c r="J18" i="6" a="1"/>
  <c r="J18" i="6" s="1"/>
  <c r="J54" i="6" a="1"/>
  <c r="J54" i="6" s="1"/>
  <c r="J14" i="6" a="1"/>
  <c r="J14" i="6" s="1"/>
  <c r="J59" i="6" a="1"/>
  <c r="J59" i="6" s="1"/>
  <c r="J12" i="6" a="1"/>
  <c r="J12" i="6" s="1"/>
  <c r="J13" i="6" a="1"/>
  <c r="J13" i="6" s="1"/>
  <c r="J19" i="6" a="1"/>
  <c r="J19" i="6" s="1"/>
  <c r="J20" i="6" a="1"/>
  <c r="J20" i="6" s="1"/>
  <c r="J22" i="6" a="1"/>
  <c r="J22" i="6" s="1"/>
  <c r="J21" i="6" a="1"/>
  <c r="J21" i="6" s="1"/>
  <c r="J69" i="6" a="1"/>
  <c r="J69" i="6" s="1"/>
  <c r="J57" i="6" a="1"/>
  <c r="J57" i="6" s="1"/>
  <c r="J26" i="6" a="1"/>
  <c r="J26" i="6" s="1"/>
  <c r="J64" i="6" a="1"/>
  <c r="J64" i="6" s="1"/>
  <c r="J60" i="6" a="1"/>
  <c r="J60" i="6" s="1"/>
  <c r="J63" i="6" a="1"/>
  <c r="J63" i="6" s="1"/>
  <c r="J39" i="6" a="1"/>
  <c r="J39" i="6" s="1"/>
  <c r="J36" i="6" a="1"/>
  <c r="J36" i="6" s="1"/>
  <c r="J34" i="6" a="1"/>
  <c r="J34" i="6" s="1"/>
  <c r="J41" i="6" a="1"/>
  <c r="J41" i="6" s="1"/>
  <c r="J37" i="6" a="1"/>
  <c r="J37" i="6" s="1"/>
  <c r="J40" i="6" a="1"/>
  <c r="J40" i="6" s="1"/>
  <c r="J42" i="6" a="1"/>
  <c r="J42" i="6" s="1"/>
  <c r="J43" i="6" a="1"/>
  <c r="J43" i="6" s="1"/>
  <c r="J35" i="6" a="1"/>
  <c r="J35" i="6" s="1"/>
  <c r="J66" i="6" a="1"/>
  <c r="J66" i="6" s="1"/>
  <c r="J61" i="6" a="1"/>
  <c r="J61" i="6" s="1"/>
  <c r="J67" i="6" a="1"/>
  <c r="J67" i="6" s="1"/>
  <c r="J70" i="6" a="1"/>
  <c r="J70" i="6" s="1"/>
  <c r="J68" i="6" a="1"/>
  <c r="J68" i="6" s="1"/>
  <c r="J29" i="6" a="1"/>
  <c r="J29" i="6" s="1"/>
  <c r="J28" i="6" a="1"/>
  <c r="J28" i="6" s="1"/>
  <c r="J23" i="6" a="1"/>
  <c r="J23" i="6" s="1"/>
  <c r="J24" i="6" a="1"/>
  <c r="J24" i="6" s="1"/>
  <c r="J30" i="6" a="1"/>
  <c r="J30" i="6" s="1"/>
  <c r="J25" i="6" a="1"/>
  <c r="J25" i="6" s="1"/>
  <c r="J27" i="6" a="1"/>
  <c r="J27" i="6" s="1"/>
  <c r="J58" i="6" a="1"/>
  <c r="J58" i="6" s="1"/>
  <c r="J32" i="6" a="1"/>
  <c r="J32" i="6" s="1"/>
  <c r="J33" i="6" a="1"/>
  <c r="J33" i="6" s="1"/>
  <c r="J38" i="6" a="1"/>
  <c r="J38" i="6" s="1"/>
  <c r="J31" i="6" a="1"/>
  <c r="J31" i="6" s="1"/>
  <c r="J44" i="6" a="1"/>
  <c r="J44" i="6" s="1"/>
  <c r="J45" i="6" a="1"/>
  <c r="J45" i="6" s="1"/>
  <c r="J46" i="6" a="1"/>
  <c r="J46" i="6" s="1"/>
  <c r="J47" i="6" a="1"/>
  <c r="J47" i="6" s="1"/>
  <c r="J48" i="6" a="1"/>
  <c r="J48" i="6" s="1"/>
  <c r="J49" i="6" a="1"/>
  <c r="J49" i="6" s="1"/>
  <c r="J50" i="6" a="1"/>
  <c r="J50" i="6" s="1"/>
  <c r="J9" i="6" a="1"/>
  <c r="J9" i="6" s="1"/>
  <c r="J10" i="6" a="1"/>
  <c r="J10" i="6" s="1"/>
  <c r="J51" i="6" a="1"/>
  <c r="J51" i="6" s="1"/>
  <c r="I62" i="6" a="1"/>
  <c r="I62" i="6" s="1"/>
  <c r="I65" i="6" a="1"/>
  <c r="I65" i="6" s="1"/>
  <c r="I53" i="6" a="1"/>
  <c r="I53" i="6" s="1"/>
  <c r="I56" i="6" a="1"/>
  <c r="I56" i="6" s="1"/>
  <c r="I52" i="6" a="1"/>
  <c r="I52" i="6" s="1"/>
  <c r="I2" i="6" a="1"/>
  <c r="I2" i="6" s="1"/>
  <c r="I1" i="6" a="1"/>
  <c r="I1" i="6" s="1"/>
  <c r="I3" i="6" a="1"/>
  <c r="I3" i="6" s="1"/>
  <c r="I5" i="6" a="1"/>
  <c r="I5" i="6" s="1"/>
  <c r="I6" i="6" a="1"/>
  <c r="I6" i="6" s="1"/>
  <c r="I7" i="6" a="1"/>
  <c r="I7" i="6" s="1"/>
  <c r="I4" i="6" a="1"/>
  <c r="I4" i="6" s="1"/>
  <c r="I8" i="6" a="1"/>
  <c r="I8" i="6" s="1"/>
  <c r="I16" i="6" a="1"/>
  <c r="I16" i="6" s="1"/>
  <c r="I17" i="6" a="1"/>
  <c r="I17" i="6" s="1"/>
  <c r="I15" i="6" a="1"/>
  <c r="I15" i="6" s="1"/>
  <c r="I11" i="6" a="1"/>
  <c r="I11" i="6" s="1"/>
  <c r="I18" i="6" a="1"/>
  <c r="I18" i="6" s="1"/>
  <c r="I54" i="6" a="1"/>
  <c r="I54" i="6" s="1"/>
  <c r="I14" i="6" a="1"/>
  <c r="I14" i="6" s="1"/>
  <c r="I59" i="6" a="1"/>
  <c r="I59" i="6" s="1"/>
  <c r="I12" i="6" a="1"/>
  <c r="I12" i="6" s="1"/>
  <c r="I13" i="6" a="1"/>
  <c r="I13" i="6" s="1"/>
  <c r="I19" i="6" a="1"/>
  <c r="I19" i="6" s="1"/>
  <c r="I20" i="6" a="1"/>
  <c r="I20" i="6" s="1"/>
  <c r="I22" i="6" a="1"/>
  <c r="I22" i="6" s="1"/>
  <c r="I21" i="6" a="1"/>
  <c r="I21" i="6" s="1"/>
  <c r="I69" i="6" a="1"/>
  <c r="I69" i="6" s="1"/>
  <c r="I57" i="6" a="1"/>
  <c r="I57" i="6" s="1"/>
  <c r="I26" i="6" a="1"/>
  <c r="I26" i="6" s="1"/>
  <c r="I64" i="6" a="1"/>
  <c r="I64" i="6" s="1"/>
  <c r="I60" i="6" a="1"/>
  <c r="I60" i="6" s="1"/>
  <c r="I63" i="6" a="1"/>
  <c r="I63" i="6" s="1"/>
  <c r="I39" i="6" a="1"/>
  <c r="I39" i="6" s="1"/>
  <c r="I36" i="6" a="1"/>
  <c r="I36" i="6" s="1"/>
  <c r="I34" i="6" a="1"/>
  <c r="I34" i="6" s="1"/>
  <c r="I41" i="6" a="1"/>
  <c r="I41" i="6" s="1"/>
  <c r="I37" i="6" a="1"/>
  <c r="I37" i="6" s="1"/>
  <c r="I40" i="6" a="1"/>
  <c r="I40" i="6" s="1"/>
  <c r="I42" i="6" a="1"/>
  <c r="I42" i="6" s="1"/>
  <c r="I43" i="6" a="1"/>
  <c r="I43" i="6" s="1"/>
  <c r="I35" i="6" a="1"/>
  <c r="I35" i="6" s="1"/>
  <c r="I66" i="6" a="1"/>
  <c r="I66" i="6" s="1"/>
  <c r="I61" i="6" a="1"/>
  <c r="I61" i="6" s="1"/>
  <c r="I67" i="6" a="1"/>
  <c r="I67" i="6" s="1"/>
  <c r="I70" i="6" a="1"/>
  <c r="I70" i="6" s="1"/>
  <c r="I68" i="6" a="1"/>
  <c r="I68" i="6" s="1"/>
  <c r="I29" i="6" a="1"/>
  <c r="I29" i="6" s="1"/>
  <c r="I28" i="6" a="1"/>
  <c r="I28" i="6" s="1"/>
  <c r="I23" i="6" a="1"/>
  <c r="I23" i="6" s="1"/>
  <c r="I24" i="6" a="1"/>
  <c r="I24" i="6" s="1"/>
  <c r="I30" i="6" a="1"/>
  <c r="I30" i="6" s="1"/>
  <c r="I25" i="6" a="1"/>
  <c r="I25" i="6" s="1"/>
  <c r="I27" i="6" a="1"/>
  <c r="I27" i="6" s="1"/>
  <c r="I58" i="6" a="1"/>
  <c r="I58" i="6" s="1"/>
  <c r="I32" i="6" a="1"/>
  <c r="I32" i="6" s="1"/>
  <c r="I33" i="6" a="1"/>
  <c r="I33" i="6" s="1"/>
  <c r="I38" i="6" a="1"/>
  <c r="I38" i="6" s="1"/>
  <c r="I31" i="6" a="1"/>
  <c r="I31" i="6" s="1"/>
  <c r="I44" i="6" a="1"/>
  <c r="I44" i="6" s="1"/>
  <c r="I45" i="6" a="1"/>
  <c r="I45" i="6" s="1"/>
  <c r="I46" i="6" a="1"/>
  <c r="I46" i="6" s="1"/>
  <c r="I47" i="6" a="1"/>
  <c r="I47" i="6" s="1"/>
  <c r="I48" i="6" a="1"/>
  <c r="I48" i="6" s="1"/>
  <c r="I49" i="6" a="1"/>
  <c r="I49" i="6" s="1"/>
  <c r="I50" i="6" a="1"/>
  <c r="I50" i="6" s="1"/>
  <c r="I9" i="6" a="1"/>
  <c r="I9" i="6" s="1"/>
  <c r="I10" i="6" a="1"/>
  <c r="I10" i="6" s="1"/>
  <c r="I51" i="6" a="1"/>
  <c r="I51" i="6" s="1"/>
  <c r="J55" i="6" a="1"/>
  <c r="J55" i="6" s="1"/>
  <c r="I55" i="6" a="1"/>
  <c r="I55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<sst xmlns="http://schemas.openxmlformats.org/spreadsheetml/2006/main" count="1853" uniqueCount="345">
  <si>
    <t>Föreningen Uppsala Voltige</t>
  </si>
  <si>
    <t>Annelie Lundgren</t>
  </si>
  <si>
    <t>Hamre Ridklubb</t>
  </si>
  <si>
    <t>SE</t>
  </si>
  <si>
    <t>Fanny Eklund</t>
  </si>
  <si>
    <t>Sofia Ekström</t>
  </si>
  <si>
    <t>Christina Müller</t>
  </si>
  <si>
    <t>Sala Voltige och Hästsportförening</t>
  </si>
  <si>
    <t>Serenade</t>
  </si>
  <si>
    <t>Sofia Fågelsbo</t>
  </si>
  <si>
    <t>-</t>
  </si>
  <si>
    <t>Isabelle Rasmussen</t>
  </si>
  <si>
    <t>Emilia Bäck</t>
  </si>
  <si>
    <t>Linda Jenvall</t>
  </si>
  <si>
    <t>Calouha</t>
  </si>
  <si>
    <t>Lagga Fältrittklubb</t>
  </si>
  <si>
    <t>Ebba Wallqvist</t>
  </si>
  <si>
    <t>Meja Högberg</t>
  </si>
  <si>
    <t>Silver</t>
  </si>
  <si>
    <t>Gladiator VDH</t>
  </si>
  <si>
    <t>Marie Johansson</t>
  </si>
  <si>
    <t>Ellen Eriksson</t>
  </si>
  <si>
    <t>Anna-Tuva Andersson</t>
  </si>
  <si>
    <t>Olivia Nyberg</t>
  </si>
  <si>
    <t>Henny Lind</t>
  </si>
  <si>
    <t>Lovis Berg</t>
  </si>
  <si>
    <t>Ariah Fischer</t>
  </si>
  <si>
    <t>Nelia Palmius</t>
  </si>
  <si>
    <t>Sigrid Stidelius</t>
  </si>
  <si>
    <t>Nikki Gladh</t>
  </si>
  <si>
    <t>Elna Stidelius</t>
  </si>
  <si>
    <t>Linnéa Lif</t>
  </si>
  <si>
    <t>Livia Duymaz</t>
  </si>
  <si>
    <t>Lilly Hedlund</t>
  </si>
  <si>
    <t>Filippa Olofsson</t>
  </si>
  <si>
    <t>Julia Ekblom</t>
  </si>
  <si>
    <t>Vera Bjarnemo</t>
  </si>
  <si>
    <t>Cecilia Viklund</t>
  </si>
  <si>
    <t>Tyra Karlsson</t>
  </si>
  <si>
    <t>Elly Malta</t>
  </si>
  <si>
    <t>Timrå Hästsportförening</t>
  </si>
  <si>
    <t>Farrakech (SWB)</t>
  </si>
  <si>
    <t>Charlz (SWB)</t>
  </si>
  <si>
    <t>Cecilia Rasmussen</t>
  </si>
  <si>
    <t>Linda Viklund</t>
  </si>
  <si>
    <t>Svår klass, Seniorlag</t>
  </si>
  <si>
    <t>Svår klass, Juniorlag</t>
  </si>
  <si>
    <t>Individuell senior 3*</t>
  </si>
  <si>
    <t>Individuell senior 2*</t>
  </si>
  <si>
    <t>Individuell senior 1*</t>
  </si>
  <si>
    <t>Individuell young vaulter</t>
  </si>
  <si>
    <t>Individuell junior 2*</t>
  </si>
  <si>
    <t>Individuell junior 1*</t>
  </si>
  <si>
    <t>Individuell minior 1*</t>
  </si>
  <si>
    <t>Pas de deux</t>
  </si>
  <si>
    <t>Mellanklass, lag</t>
  </si>
  <si>
    <t>Mixklass 1*</t>
  </si>
  <si>
    <t>Mixklass 0*</t>
  </si>
  <si>
    <t>Lättklass, lag</t>
  </si>
  <si>
    <t>Skrittklass, lag typ 1</t>
  </si>
  <si>
    <t>Skrittklass, lag typ 2</t>
  </si>
  <si>
    <t>Lättklass, Individuell</t>
  </si>
  <si>
    <t>Skrittklass, individuell</t>
  </si>
  <si>
    <t>Skrittklass, pas de deux</t>
  </si>
  <si>
    <t>Tuva Wipemo</t>
  </si>
  <si>
    <t>Cortesch (SWB)</t>
  </si>
  <si>
    <t>Andrea Raud</t>
  </si>
  <si>
    <t>Amanda Lundén Pliscovaz</t>
  </si>
  <si>
    <t>Malin Folgerö</t>
  </si>
  <si>
    <t>Julia Kristensson</t>
  </si>
  <si>
    <t>Tindra Öberg</t>
  </si>
  <si>
    <t>Novalie Wall</t>
  </si>
  <si>
    <t>Ebba Holmberg</t>
  </si>
  <si>
    <t>Thea Lundell</t>
  </si>
  <si>
    <t>Elda Lindberg</t>
  </si>
  <si>
    <t>Linnea Jennische</t>
  </si>
  <si>
    <t>Wilma Ericson Flack</t>
  </si>
  <si>
    <t>Agnes Kumm</t>
  </si>
  <si>
    <t>Alicia Ramberg</t>
  </si>
  <si>
    <t>Agnes Viklund</t>
  </si>
  <si>
    <t>Enzo Folgerö</t>
  </si>
  <si>
    <t>Mira Bergqvist</t>
  </si>
  <si>
    <t>Mollie Strandberg</t>
  </si>
  <si>
    <t>Louise Hörnstedt</t>
  </si>
  <si>
    <t>Svea Torssander</t>
  </si>
  <si>
    <t>Nova Lindgren</t>
  </si>
  <si>
    <t>Alma Bjarnemo</t>
  </si>
  <si>
    <t>Melina Vesterholm</t>
  </si>
  <si>
    <t>Milou Hallgren</t>
  </si>
  <si>
    <t>Meja Bergqvist</t>
  </si>
  <si>
    <t>Moa Jansson</t>
  </si>
  <si>
    <t>Julia Elvnäs</t>
  </si>
  <si>
    <t>Noelia Vega Santibanez</t>
  </si>
  <si>
    <t>Haylie Rebane</t>
  </si>
  <si>
    <t>Ebba Fasthamre</t>
  </si>
  <si>
    <t>Denice Sundberg</t>
  </si>
  <si>
    <t>Elsa Söderberg</t>
  </si>
  <si>
    <t>Ronja Berggren</t>
  </si>
  <si>
    <t>Föreningen Skästa Ridcenter</t>
  </si>
  <si>
    <t>Hembys Bellman</t>
  </si>
  <si>
    <t>Diamond</t>
  </si>
  <si>
    <t>Castell (SWB)</t>
  </si>
  <si>
    <t>Iniesta</t>
  </si>
  <si>
    <t>Klondike</t>
  </si>
  <si>
    <t>Rondento Victoire</t>
  </si>
  <si>
    <t>Turbic Boy (SWB)</t>
  </si>
  <si>
    <t>Zara</t>
  </si>
  <si>
    <t>Odinn</t>
  </si>
  <si>
    <t>JoAnna Bäck</t>
  </si>
  <si>
    <t>Jenny Rova</t>
  </si>
  <si>
    <t>Connie Rebane</t>
  </si>
  <si>
    <t>Maria Kumm</t>
  </si>
  <si>
    <t>Erika Hansen</t>
  </si>
  <si>
    <t>Startordning:, 1. Fanny Eklund , 2. Ebba Wallqvist , 3. Emilia Bäck , , Grund och tekniskt i olika inspring</t>
  </si>
  <si>
    <t>Grund och teknisk i olika inspring. Ordning Fanny,Ebba,Emilia</t>
  </si>
  <si>
    <t>Elda tävlar för Uppsala Voltige</t>
  </si>
  <si>
    <t>Så långt som möjligt mellan Iniesta och Klondike</t>
  </si>
  <si>
    <t>Så långt som möjligt mellan Iniesta och Klondike. , Klondike är helt ny och detta är hans första tävling.</t>
  </si>
  <si>
    <t>Missade att fylla i ”sena ändringar” och önskar det som tillägg.</t>
  </si>
  <si>
    <t>Team Atlas, Startordning, 1 Mollie strandberg , 2 Nova Lindgren , 3 Enzo folgerö , 4 Mira Bergqvist, 5 Louise Hörnstedt, 6 Svea Torssander</t>
  </si>
  <si>
    <t>Uppsala Team Andromeda, , Startordning: Ariah, Elna, Nelia, Alma, Sigrid.</t>
  </si>
  <si>
    <t>Uppsala Team Andromeda Blå, , Det andra laget kan heta Andromeda Svart</t>
  </si>
  <si>
    <t>Team Eros , Startordning:, 1. Milou Hallgren, 2. Meja Bergqvist, 3. Moa Jansson, 4. Julia Elvnäs , 5. Noelia Vega Santibanez</t>
  </si>
  <si>
    <t>Mia kumm linför,  connie värmer upp,</t>
  </si>
  <si>
    <t>Höger varv</t>
  </si>
  <si>
    <t>Tävlar för Uppsala Voltige</t>
  </si>
  <si>
    <t>My Lindström</t>
  </si>
  <si>
    <t>Ella Eriksson</t>
  </si>
  <si>
    <t>Linnea Pedersen</t>
  </si>
  <si>
    <t>Selma Åkesson</t>
  </si>
  <si>
    <t>Fortuna Voltigeförening</t>
  </si>
  <si>
    <t>Crisanto S</t>
  </si>
  <si>
    <t>Halving</t>
  </si>
  <si>
    <t>Angelica Thunman</t>
  </si>
  <si>
    <t xml:space="preserve">33 3 domare 34 för 4 domare </t>
  </si>
  <si>
    <t>44 2 domare</t>
  </si>
  <si>
    <t>1058 2 domare</t>
  </si>
  <si>
    <t>43 2 domare</t>
  </si>
  <si>
    <t>45 2 domare</t>
  </si>
  <si>
    <t>1055 2 domare</t>
  </si>
  <si>
    <t>Andromeda Blå</t>
  </si>
  <si>
    <t>Svår klass lag seniorer klass 1 – Grund</t>
  </si>
  <si>
    <t>Svår klass individuella klass  3, 4, 5, 6, 7, 8  – Grund/tekn kür</t>
  </si>
  <si>
    <t>Skrittklass Lag grund och kür klass 15, 16</t>
  </si>
  <si>
    <t>Skrittklass, Lätt klass, individuell 17, 18</t>
  </si>
  <si>
    <t>Svår klass lag seniorer klass 1 – Kür</t>
  </si>
  <si>
    <t>Svår klass individuella klass 3, 4, 5, 6, 7, 8  – Kür</t>
  </si>
  <si>
    <t>Mixklass klass 12</t>
  </si>
  <si>
    <t>Elvira Androos</t>
  </si>
  <si>
    <t>Selma Ouled El Housseine</t>
  </si>
  <si>
    <t>Tilda Månsson</t>
  </si>
  <si>
    <t>Signe Säfström</t>
  </si>
  <si>
    <t>Mila Thulin</t>
  </si>
  <si>
    <t>Felicia Söderman</t>
  </si>
  <si>
    <t>Hedvig Säfström</t>
  </si>
  <si>
    <t>52 = mer än 6 deltagare</t>
  </si>
  <si>
    <t>Eros</t>
  </si>
  <si>
    <t>Atlas</t>
  </si>
  <si>
    <t xml:space="preserve"> Athena</t>
  </si>
  <si>
    <t xml:space="preserve">P V - Skrittklass lag typ 1 </t>
  </si>
  <si>
    <t>Andromeda Svart</t>
  </si>
  <si>
    <t>Cortesch_(SWB)</t>
  </si>
  <si>
    <t>51 3 domare</t>
  </si>
  <si>
    <t>1059 3 domare</t>
  </si>
  <si>
    <t>Lätt klass individuell skritt</t>
  </si>
  <si>
    <t>Orlando Van't Merodehof</t>
  </si>
  <si>
    <t>Indus Blå</t>
  </si>
  <si>
    <t>Indus Gul</t>
  </si>
  <si>
    <t>Agnes_Kumm</t>
  </si>
  <si>
    <t>Noomi Lind Polsk</t>
  </si>
  <si>
    <t>Visa klasser</t>
  </si>
  <si>
    <t>Svart 7</t>
  </si>
  <si>
    <t>Svart 8</t>
  </si>
  <si>
    <t>Vit 19</t>
  </si>
  <si>
    <t>Vit 1</t>
  </si>
  <si>
    <t>Vit 7</t>
  </si>
  <si>
    <t>Vit 8</t>
  </si>
  <si>
    <t>Vit 10</t>
  </si>
  <si>
    <t>Blå 1</t>
  </si>
  <si>
    <t>Blå 9</t>
  </si>
  <si>
    <t>Blå 2</t>
  </si>
  <si>
    <t>Vit 12</t>
  </si>
  <si>
    <t>Vit 13</t>
  </si>
  <si>
    <t>Vit 15</t>
  </si>
  <si>
    <t>Vit 16</t>
  </si>
  <si>
    <t>Vit 17</t>
  </si>
  <si>
    <t>Vit 18</t>
  </si>
  <si>
    <t>Vit 20</t>
  </si>
  <si>
    <t>Blå 3</t>
  </si>
  <si>
    <t>Blå 5</t>
  </si>
  <si>
    <t>Svart  10</t>
  </si>
  <si>
    <t>Svart 11</t>
  </si>
  <si>
    <t>Svart 12</t>
  </si>
  <si>
    <t>Svart 13</t>
  </si>
  <si>
    <t>Svart 14</t>
  </si>
  <si>
    <t>Svart 15</t>
  </si>
  <si>
    <t>Svart 16</t>
  </si>
  <si>
    <t>Svart 9</t>
  </si>
  <si>
    <t>Blå 7</t>
  </si>
  <si>
    <t>Blå 8</t>
  </si>
  <si>
    <t>Blå 10</t>
  </si>
  <si>
    <t>Blå 11</t>
  </si>
  <si>
    <t>Blå 12</t>
  </si>
  <si>
    <t>Blå 13</t>
  </si>
  <si>
    <t>Blå 14</t>
  </si>
  <si>
    <t>Blå 15</t>
  </si>
  <si>
    <t>Blå 6</t>
  </si>
  <si>
    <t>Vit 9</t>
  </si>
  <si>
    <t>Vit 22</t>
  </si>
  <si>
    <t>Vi 23</t>
  </si>
  <si>
    <t>50 för 3 domare</t>
  </si>
  <si>
    <t>Charlz_(SWB)</t>
  </si>
  <si>
    <t>98</t>
  </si>
  <si>
    <t>869</t>
  </si>
  <si>
    <t>330385</t>
  </si>
  <si>
    <t>40552</t>
  </si>
  <si>
    <t>7</t>
  </si>
  <si>
    <t>769943</t>
  </si>
  <si>
    <t>155892</t>
  </si>
  <si>
    <t>223</t>
  </si>
  <si>
    <t>316201</t>
  </si>
  <si>
    <t>24976</t>
  </si>
  <si>
    <t>155915</t>
  </si>
  <si>
    <t>1330</t>
  </si>
  <si>
    <t>119893</t>
  </si>
  <si>
    <t>280330</t>
  </si>
  <si>
    <t>36847</t>
  </si>
  <si>
    <t>4</t>
  </si>
  <si>
    <t>769940</t>
  </si>
  <si>
    <t>101407</t>
  </si>
  <si>
    <t>134303</t>
  </si>
  <si>
    <t>986</t>
  </si>
  <si>
    <t>125</t>
  </si>
  <si>
    <t>39667</t>
  </si>
  <si>
    <t>5</t>
  </si>
  <si>
    <t>769941</t>
  </si>
  <si>
    <t>190842</t>
  </si>
  <si>
    <t>123</t>
  </si>
  <si>
    <t>44766</t>
  </si>
  <si>
    <t>9</t>
  </si>
  <si>
    <t>769945</t>
  </si>
  <si>
    <t>160950</t>
  </si>
  <si>
    <t>134608</t>
  </si>
  <si>
    <t>354215</t>
  </si>
  <si>
    <t>106236</t>
  </si>
  <si>
    <t>200328</t>
  </si>
  <si>
    <t>342894</t>
  </si>
  <si>
    <t>8</t>
  </si>
  <si>
    <t>769944</t>
  </si>
  <si>
    <t>155124</t>
  </si>
  <si>
    <t>163943</t>
  </si>
  <si>
    <t>293254</t>
  </si>
  <si>
    <t>124472</t>
  </si>
  <si>
    <t>101580</t>
  </si>
  <si>
    <t>312598</t>
  </si>
  <si>
    <t>65038</t>
  </si>
  <si>
    <t>99453</t>
  </si>
  <si>
    <t>342703</t>
  </si>
  <si>
    <t>39162</t>
  </si>
  <si>
    <t>3</t>
  </si>
  <si>
    <t>769939</t>
  </si>
  <si>
    <t>155140</t>
  </si>
  <si>
    <t>51513</t>
  </si>
  <si>
    <t>145535</t>
  </si>
  <si>
    <t>328352</t>
  </si>
  <si>
    <t>2</t>
  </si>
  <si>
    <t>195030</t>
  </si>
  <si>
    <t>203320</t>
  </si>
  <si>
    <t>164698</t>
  </si>
  <si>
    <t>206123</t>
  </si>
  <si>
    <t>155903</t>
  </si>
  <si>
    <t>164696</t>
  </si>
  <si>
    <t>Athena</t>
  </si>
  <si>
    <t>308300</t>
  </si>
  <si>
    <t>68838</t>
  </si>
  <si>
    <t>1</t>
  </si>
  <si>
    <t>769936</t>
  </si>
  <si>
    <t>186646</t>
  </si>
  <si>
    <t>328098</t>
  </si>
  <si>
    <t>180813</t>
  </si>
  <si>
    <t>18</t>
  </si>
  <si>
    <t>769954</t>
  </si>
  <si>
    <t>195012</t>
  </si>
  <si>
    <t>186781</t>
  </si>
  <si>
    <t>186751</t>
  </si>
  <si>
    <t>195002</t>
  </si>
  <si>
    <t>202520</t>
  </si>
  <si>
    <t>195003</t>
  </si>
  <si>
    <t>339009</t>
  </si>
  <si>
    <t>57688</t>
  </si>
  <si>
    <t>202342</t>
  </si>
  <si>
    <t>194944</t>
  </si>
  <si>
    <t>194941</t>
  </si>
  <si>
    <t>205893</t>
  </si>
  <si>
    <t>195029</t>
  </si>
  <si>
    <t>202327</t>
  </si>
  <si>
    <t>39</t>
  </si>
  <si>
    <t>Svår klass individuella klass  3, 4, 5, 6, 7, 8 , 9 – Grund/tekn kür</t>
  </si>
  <si>
    <t>31</t>
  </si>
  <si>
    <t>181877</t>
  </si>
  <si>
    <t>124</t>
  </si>
  <si>
    <t>49704</t>
  </si>
  <si>
    <t>17</t>
  </si>
  <si>
    <t>769953</t>
  </si>
  <si>
    <t>163633</t>
  </si>
  <si>
    <t>186749</t>
  </si>
  <si>
    <t>169428</t>
  </si>
  <si>
    <t>29744</t>
  </si>
  <si>
    <t>206243</t>
  </si>
  <si>
    <t>334748</t>
  </si>
  <si>
    <t>96828</t>
  </si>
  <si>
    <t>195019</t>
  </si>
  <si>
    <t>262992</t>
  </si>
  <si>
    <t>34557</t>
  </si>
  <si>
    <t>195035</t>
  </si>
  <si>
    <t>65539</t>
  </si>
  <si>
    <t>46</t>
  </si>
  <si>
    <t>200754</t>
  </si>
  <si>
    <t>186888</t>
  </si>
  <si>
    <t>201304</t>
  </si>
  <si>
    <t>171512</t>
  </si>
  <si>
    <t>13</t>
  </si>
  <si>
    <t>769949</t>
  </si>
  <si>
    <t>52</t>
  </si>
  <si>
    <t>204013</t>
  </si>
  <si>
    <t>206216</t>
  </si>
  <si>
    <t>203579</t>
  </si>
  <si>
    <t>190728</t>
  </si>
  <si>
    <t>203576</t>
  </si>
  <si>
    <t>16</t>
  </si>
  <si>
    <t>769952</t>
  </si>
  <si>
    <t>15</t>
  </si>
  <si>
    <t>769951</t>
  </si>
  <si>
    <t>96</t>
  </si>
  <si>
    <t>94</t>
  </si>
  <si>
    <t>93</t>
  </si>
  <si>
    <t>91</t>
  </si>
  <si>
    <t>P V - Skrittklass lag typ 1</t>
  </si>
  <si>
    <t>999</t>
  </si>
  <si>
    <t>700</t>
  </si>
  <si>
    <t>99</t>
  </si>
  <si>
    <t>95</t>
  </si>
  <si>
    <t>92</t>
  </si>
  <si>
    <t>90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</si>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</sst>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;@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rgb="FF222222"/>
      <name val="Arial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49" fontId="0" fillId="0" borderId="0" xfId="0" applyNumberForma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226C-5C04-4BF3-8E70-8B8EE178612C}">
  <dimension ref="A1:Y105"/>
  <sheetViews>
    <sheetView topLeftCell="A60" workbookViewId="0">
      <selection activeCell="M110" sqref="M110"/>
    </sheetView>
  </sheetViews>
  <sheetFormatPr defaultRowHeight="14.25" x14ac:dyDescent="0.45"/>
  <sheetData>
    <row r="1" spans="1:25" x14ac:dyDescent="0.45">
      <c r="A1" s="11" t="s">
        <v>344</v>
      </c>
      <c r="B1" s="11" t="s">
        <v>143</v>
      </c>
    </row>
    <row r="2" spans="1:25" x14ac:dyDescent="0.45">
      <c r="A2" s="10" t="s">
        <v>339</v>
      </c>
      <c r="B2" s="10" t="s">
        <v>338</v>
      </c>
      <c r="C2" s="10" t="s">
        <v>337</v>
      </c>
      <c r="D2" s="10" t="s">
        <v>289</v>
      </c>
      <c r="E2" s="10" t="s">
        <v>112</v>
      </c>
      <c r="F2" s="10" t="s">
        <v>288</v>
      </c>
      <c r="G2" s="10" t="s">
        <v>107</v>
      </c>
      <c r="H2" s="10"/>
      <c r="I2" s="10"/>
      <c r="J2" s="10" t="s">
        <v>219</v>
      </c>
      <c r="K2" s="10" t="s">
        <v>0</v>
      </c>
      <c r="L2" s="10"/>
      <c r="M2" s="10" t="s">
        <v>166</v>
      </c>
      <c r="N2" s="10" t="s">
        <v>343</v>
      </c>
      <c r="O2" s="10" t="s">
        <v>148</v>
      </c>
      <c r="P2" s="10" t="s">
        <v>342</v>
      </c>
      <c r="Q2" s="10" t="s">
        <v>150</v>
      </c>
      <c r="R2" s="10" t="s">
        <v>341</v>
      </c>
      <c r="S2" s="10" t="s">
        <v>153</v>
      </c>
      <c r="T2" s="10" t="s">
        <v>340</v>
      </c>
      <c r="U2" s="10" t="s">
        <v>169</v>
      </c>
    </row>
    <row r="3" spans="1:25" x14ac:dyDescent="0.45">
      <c r="A3" s="10" t="s">
        <v>339</v>
      </c>
      <c r="B3" s="10" t="s">
        <v>338</v>
      </c>
      <c r="C3" s="10" t="s">
        <v>337</v>
      </c>
      <c r="D3" s="10" t="s">
        <v>289</v>
      </c>
      <c r="E3" s="10" t="s">
        <v>112</v>
      </c>
      <c r="F3" s="10" t="s">
        <v>288</v>
      </c>
      <c r="G3" s="10" t="s">
        <v>107</v>
      </c>
      <c r="H3" s="10"/>
      <c r="I3" s="10"/>
      <c r="J3" s="10" t="s">
        <v>219</v>
      </c>
      <c r="K3" s="10" t="s">
        <v>0</v>
      </c>
      <c r="L3" s="10"/>
      <c r="M3" s="10" t="s">
        <v>166</v>
      </c>
      <c r="N3" s="10" t="s">
        <v>343</v>
      </c>
      <c r="O3" s="10" t="s">
        <v>148</v>
      </c>
      <c r="P3" s="10" t="s">
        <v>342</v>
      </c>
      <c r="Q3" s="10" t="s">
        <v>150</v>
      </c>
      <c r="R3" s="10" t="s">
        <v>341</v>
      </c>
      <c r="S3" s="10" t="s">
        <v>153</v>
      </c>
      <c r="T3" s="10" t="s">
        <v>340</v>
      </c>
      <c r="U3" s="10" t="s">
        <v>169</v>
      </c>
    </row>
    <row r="4" spans="1:25" x14ac:dyDescent="0.45">
      <c r="A4" s="10" t="s">
        <v>332</v>
      </c>
      <c r="B4" s="10" t="s">
        <v>331</v>
      </c>
      <c r="C4" s="10" t="s">
        <v>59</v>
      </c>
      <c r="D4" s="10" t="s">
        <v>226</v>
      </c>
      <c r="E4" s="10" t="s">
        <v>13</v>
      </c>
      <c r="F4" s="10" t="s">
        <v>225</v>
      </c>
      <c r="G4" s="10" t="s">
        <v>14</v>
      </c>
      <c r="H4" s="10"/>
      <c r="I4" s="10"/>
      <c r="J4" s="10" t="s">
        <v>219</v>
      </c>
      <c r="K4" s="10" t="s">
        <v>0</v>
      </c>
      <c r="L4" s="10"/>
      <c r="M4" s="10" t="s">
        <v>160</v>
      </c>
      <c r="N4" s="10" t="s">
        <v>294</v>
      </c>
      <c r="O4" s="10" t="s">
        <v>26</v>
      </c>
      <c r="P4" s="10" t="s">
        <v>285</v>
      </c>
      <c r="Q4" s="10" t="s">
        <v>30</v>
      </c>
      <c r="R4" s="10" t="s">
        <v>292</v>
      </c>
      <c r="S4" s="10" t="s">
        <v>27</v>
      </c>
      <c r="T4" s="10" t="s">
        <v>290</v>
      </c>
      <c r="U4" s="10" t="s">
        <v>86</v>
      </c>
      <c r="V4" s="10" t="s">
        <v>287</v>
      </c>
      <c r="W4" s="10" t="s">
        <v>28</v>
      </c>
    </row>
    <row r="5" spans="1:25" x14ac:dyDescent="0.45">
      <c r="A5" s="10" t="s">
        <v>332</v>
      </c>
      <c r="B5" s="10" t="s">
        <v>331</v>
      </c>
      <c r="C5" s="10" t="s">
        <v>59</v>
      </c>
      <c r="D5" s="10" t="s">
        <v>226</v>
      </c>
      <c r="E5" s="10" t="s">
        <v>13</v>
      </c>
      <c r="F5" s="10" t="s">
        <v>225</v>
      </c>
      <c r="G5" s="10" t="s">
        <v>14</v>
      </c>
      <c r="H5" s="10"/>
      <c r="I5" s="10"/>
      <c r="J5" s="10" t="s">
        <v>219</v>
      </c>
      <c r="K5" s="10" t="s">
        <v>0</v>
      </c>
      <c r="L5" s="10"/>
      <c r="M5" s="10" t="s">
        <v>160</v>
      </c>
      <c r="N5" s="10" t="s">
        <v>294</v>
      </c>
      <c r="O5" s="10" t="s">
        <v>26</v>
      </c>
      <c r="P5" s="10" t="s">
        <v>285</v>
      </c>
      <c r="Q5" s="10" t="s">
        <v>30</v>
      </c>
      <c r="R5" s="10" t="s">
        <v>292</v>
      </c>
      <c r="S5" s="10" t="s">
        <v>27</v>
      </c>
      <c r="T5" s="10" t="s">
        <v>290</v>
      </c>
      <c r="U5" s="10" t="s">
        <v>86</v>
      </c>
      <c r="V5" s="10" t="s">
        <v>287</v>
      </c>
      <c r="W5" s="10" t="s">
        <v>28</v>
      </c>
    </row>
    <row r="6" spans="1:25" x14ac:dyDescent="0.45">
      <c r="A6" s="10" t="s">
        <v>339</v>
      </c>
      <c r="B6" s="10" t="s">
        <v>338</v>
      </c>
      <c r="C6" s="10" t="s">
        <v>337</v>
      </c>
      <c r="D6" s="10" t="s">
        <v>289</v>
      </c>
      <c r="E6" s="10" t="s">
        <v>112</v>
      </c>
      <c r="F6" s="10" t="s">
        <v>288</v>
      </c>
      <c r="G6" s="10" t="s">
        <v>107</v>
      </c>
      <c r="H6" s="10"/>
      <c r="I6" s="10"/>
      <c r="J6" s="10" t="s">
        <v>219</v>
      </c>
      <c r="K6" s="10" t="s">
        <v>0</v>
      </c>
      <c r="L6" s="10"/>
      <c r="M6" s="10" t="s">
        <v>167</v>
      </c>
      <c r="N6" s="10" t="s">
        <v>336</v>
      </c>
      <c r="O6" s="10" t="s">
        <v>149</v>
      </c>
      <c r="P6" s="10" t="s">
        <v>335</v>
      </c>
      <c r="Q6" s="10" t="s">
        <v>151</v>
      </c>
      <c r="R6" s="10" t="s">
        <v>334</v>
      </c>
      <c r="S6" s="10" t="s">
        <v>152</v>
      </c>
      <c r="T6" s="10" t="s">
        <v>333</v>
      </c>
      <c r="U6" s="10" t="s">
        <v>154</v>
      </c>
    </row>
    <row r="7" spans="1:25" x14ac:dyDescent="0.45">
      <c r="A7" s="10" t="s">
        <v>339</v>
      </c>
      <c r="B7" s="10" t="s">
        <v>338</v>
      </c>
      <c r="C7" s="10" t="s">
        <v>337</v>
      </c>
      <c r="D7" s="10" t="s">
        <v>289</v>
      </c>
      <c r="E7" s="10" t="s">
        <v>112</v>
      </c>
      <c r="F7" s="10" t="s">
        <v>288</v>
      </c>
      <c r="G7" s="10" t="s">
        <v>107</v>
      </c>
      <c r="H7" s="10"/>
      <c r="I7" s="10"/>
      <c r="J7" s="10" t="s">
        <v>219</v>
      </c>
      <c r="K7" s="10" t="s">
        <v>0</v>
      </c>
      <c r="L7" s="10"/>
      <c r="M7" s="10" t="s">
        <v>167</v>
      </c>
      <c r="N7" s="10" t="s">
        <v>336</v>
      </c>
      <c r="O7" s="10" t="s">
        <v>149</v>
      </c>
      <c r="P7" s="10" t="s">
        <v>335</v>
      </c>
      <c r="Q7" s="10" t="s">
        <v>151</v>
      </c>
      <c r="R7" s="10" t="s">
        <v>334</v>
      </c>
      <c r="S7" s="10" t="s">
        <v>152</v>
      </c>
      <c r="T7" s="10" t="s">
        <v>333</v>
      </c>
      <c r="U7" s="10" t="s">
        <v>154</v>
      </c>
    </row>
    <row r="8" spans="1:25" x14ac:dyDescent="0.45">
      <c r="A8" s="10" t="s">
        <v>332</v>
      </c>
      <c r="B8" s="10" t="s">
        <v>331</v>
      </c>
      <c r="C8" s="10" t="s">
        <v>59</v>
      </c>
      <c r="D8" s="10" t="s">
        <v>226</v>
      </c>
      <c r="E8" s="10" t="s">
        <v>13</v>
      </c>
      <c r="F8" s="10" t="s">
        <v>225</v>
      </c>
      <c r="G8" s="10" t="s">
        <v>14</v>
      </c>
      <c r="H8" s="10"/>
      <c r="I8" s="10"/>
      <c r="J8" s="10" t="s">
        <v>219</v>
      </c>
      <c r="K8" s="10" t="s">
        <v>0</v>
      </c>
      <c r="L8" s="10"/>
      <c r="M8" s="10" t="s">
        <v>140</v>
      </c>
      <c r="N8" s="10" t="s">
        <v>295</v>
      </c>
      <c r="O8" s="10" t="s">
        <v>25</v>
      </c>
      <c r="P8" s="10" t="s">
        <v>286</v>
      </c>
      <c r="Q8" s="10" t="s">
        <v>29</v>
      </c>
      <c r="R8" s="10" t="s">
        <v>293</v>
      </c>
      <c r="S8" s="10" t="s">
        <v>87</v>
      </c>
      <c r="T8" s="10" t="s">
        <v>291</v>
      </c>
      <c r="U8" s="10" t="s">
        <v>31</v>
      </c>
    </row>
    <row r="9" spans="1:25" x14ac:dyDescent="0.45">
      <c r="A9" s="10" t="s">
        <v>332</v>
      </c>
      <c r="B9" s="10" t="s">
        <v>331</v>
      </c>
      <c r="C9" s="10" t="s">
        <v>59</v>
      </c>
      <c r="D9" s="10" t="s">
        <v>226</v>
      </c>
      <c r="E9" s="10" t="s">
        <v>13</v>
      </c>
      <c r="F9" s="10" t="s">
        <v>225</v>
      </c>
      <c r="G9" s="10" t="s">
        <v>14</v>
      </c>
      <c r="H9" s="10"/>
      <c r="I9" s="10"/>
      <c r="J9" s="10" t="s">
        <v>219</v>
      </c>
      <c r="K9" s="10" t="s">
        <v>0</v>
      </c>
      <c r="L9" s="10"/>
      <c r="M9" s="10" t="s">
        <v>140</v>
      </c>
      <c r="N9" s="10" t="s">
        <v>295</v>
      </c>
      <c r="O9" s="10" t="s">
        <v>25</v>
      </c>
      <c r="P9" s="10" t="s">
        <v>286</v>
      </c>
      <c r="Q9" s="10" t="s">
        <v>29</v>
      </c>
      <c r="R9" s="10" t="s">
        <v>293</v>
      </c>
      <c r="S9" s="10" t="s">
        <v>87</v>
      </c>
      <c r="T9" s="10" t="s">
        <v>291</v>
      </c>
      <c r="U9" s="10" t="s">
        <v>31</v>
      </c>
    </row>
    <row r="10" spans="1:25" x14ac:dyDescent="0.45">
      <c r="A10" s="10" t="s">
        <v>330</v>
      </c>
      <c r="B10" s="10" t="s">
        <v>329</v>
      </c>
      <c r="C10" s="10" t="s">
        <v>60</v>
      </c>
      <c r="D10" s="10" t="s">
        <v>279</v>
      </c>
      <c r="E10" s="10" t="s">
        <v>109</v>
      </c>
      <c r="F10" s="10" t="s">
        <v>278</v>
      </c>
      <c r="G10" s="10" t="s">
        <v>105</v>
      </c>
      <c r="H10" s="10"/>
      <c r="I10" s="10"/>
      <c r="J10" s="10" t="s">
        <v>223</v>
      </c>
      <c r="K10" s="10" t="s">
        <v>7</v>
      </c>
      <c r="L10" s="10"/>
      <c r="M10" s="10" t="s">
        <v>156</v>
      </c>
      <c r="N10" s="10" t="s">
        <v>328</v>
      </c>
      <c r="O10" s="10" t="s">
        <v>88</v>
      </c>
      <c r="P10" s="10" t="s">
        <v>327</v>
      </c>
      <c r="Q10" s="10" t="s">
        <v>89</v>
      </c>
      <c r="R10" s="10" t="s">
        <v>326</v>
      </c>
      <c r="S10" s="10" t="s">
        <v>90</v>
      </c>
      <c r="T10" s="10" t="s">
        <v>325</v>
      </c>
      <c r="U10" s="10" t="s">
        <v>91</v>
      </c>
      <c r="V10" s="10" t="s">
        <v>324</v>
      </c>
      <c r="W10" s="10" t="s">
        <v>92</v>
      </c>
    </row>
    <row r="11" spans="1:25" x14ac:dyDescent="0.45">
      <c r="A11" s="10" t="s">
        <v>330</v>
      </c>
      <c r="B11" s="10" t="s">
        <v>329</v>
      </c>
      <c r="C11" s="10" t="s">
        <v>60</v>
      </c>
      <c r="D11" s="10" t="s">
        <v>279</v>
      </c>
      <c r="E11" s="10" t="s">
        <v>109</v>
      </c>
      <c r="F11" s="10" t="s">
        <v>278</v>
      </c>
      <c r="G11" s="10" t="s">
        <v>105</v>
      </c>
      <c r="H11" s="10"/>
      <c r="I11" s="10"/>
      <c r="J11" s="10" t="s">
        <v>223</v>
      </c>
      <c r="K11" s="10" t="s">
        <v>7</v>
      </c>
      <c r="L11" s="10"/>
      <c r="M11" s="10" t="s">
        <v>156</v>
      </c>
      <c r="N11" s="10" t="s">
        <v>328</v>
      </c>
      <c r="O11" s="10" t="s">
        <v>88</v>
      </c>
      <c r="P11" s="10" t="s">
        <v>327</v>
      </c>
      <c r="Q11" s="10" t="s">
        <v>89</v>
      </c>
      <c r="R11" s="10" t="s">
        <v>326</v>
      </c>
      <c r="S11" s="10" t="s">
        <v>90</v>
      </c>
      <c r="T11" s="10" t="s">
        <v>325</v>
      </c>
      <c r="U11" s="10" t="s">
        <v>91</v>
      </c>
      <c r="V11" s="10" t="s">
        <v>324</v>
      </c>
      <c r="W11" s="10" t="s">
        <v>92</v>
      </c>
    </row>
    <row r="12" spans="1:25" x14ac:dyDescent="0.45">
      <c r="A12" s="11" t="s">
        <v>323</v>
      </c>
      <c r="B12" s="11" t="s">
        <v>147</v>
      </c>
    </row>
    <row r="13" spans="1:25" x14ac:dyDescent="0.45">
      <c r="A13" s="10" t="s">
        <v>322</v>
      </c>
      <c r="B13" s="10" t="s">
        <v>321</v>
      </c>
      <c r="C13" s="10" t="s">
        <v>57</v>
      </c>
      <c r="D13" s="10" t="s">
        <v>301</v>
      </c>
      <c r="E13" s="10" t="s">
        <v>108</v>
      </c>
      <c r="F13" s="10" t="s">
        <v>300</v>
      </c>
      <c r="G13" s="10" t="s">
        <v>165</v>
      </c>
      <c r="H13" s="10"/>
      <c r="I13" s="10"/>
      <c r="J13" s="10" t="s">
        <v>223</v>
      </c>
      <c r="K13" s="10" t="s">
        <v>7</v>
      </c>
      <c r="L13" s="10"/>
      <c r="M13" s="10" t="s">
        <v>157</v>
      </c>
      <c r="N13" s="10" t="s">
        <v>269</v>
      </c>
      <c r="O13" s="10" t="s">
        <v>80</v>
      </c>
      <c r="P13" s="10" t="s">
        <v>320</v>
      </c>
      <c r="Q13" s="10" t="s">
        <v>81</v>
      </c>
      <c r="R13" s="10" t="s">
        <v>299</v>
      </c>
      <c r="S13" s="10" t="s">
        <v>82</v>
      </c>
      <c r="T13" s="10" t="s">
        <v>319</v>
      </c>
      <c r="U13" s="10" t="s">
        <v>83</v>
      </c>
      <c r="V13" s="10" t="s">
        <v>318</v>
      </c>
      <c r="W13" s="10" t="s">
        <v>84</v>
      </c>
      <c r="X13" s="10" t="s">
        <v>317</v>
      </c>
      <c r="Y13" s="10" t="s">
        <v>85</v>
      </c>
    </row>
    <row r="14" spans="1:25" x14ac:dyDescent="0.45">
      <c r="A14" s="10" t="s">
        <v>322</v>
      </c>
      <c r="B14" s="10" t="s">
        <v>321</v>
      </c>
      <c r="C14" s="10" t="s">
        <v>57</v>
      </c>
      <c r="D14" s="10" t="s">
        <v>301</v>
      </c>
      <c r="E14" s="10" t="s">
        <v>108</v>
      </c>
      <c r="F14" s="10" t="s">
        <v>300</v>
      </c>
      <c r="G14" s="10" t="s">
        <v>165</v>
      </c>
      <c r="H14" s="10"/>
      <c r="I14" s="10"/>
      <c r="J14" s="10" t="s">
        <v>223</v>
      </c>
      <c r="K14" s="10" t="s">
        <v>7</v>
      </c>
      <c r="L14" s="10"/>
      <c r="M14" s="10" t="s">
        <v>157</v>
      </c>
      <c r="N14" s="10" t="s">
        <v>269</v>
      </c>
      <c r="O14" s="10" t="s">
        <v>80</v>
      </c>
      <c r="P14" s="10" t="s">
        <v>320</v>
      </c>
      <c r="Q14" s="10" t="s">
        <v>81</v>
      </c>
      <c r="R14" s="10" t="s">
        <v>299</v>
      </c>
      <c r="S14" s="10" t="s">
        <v>82</v>
      </c>
      <c r="T14" s="10" t="s">
        <v>319</v>
      </c>
      <c r="U14" s="10" t="s">
        <v>83</v>
      </c>
      <c r="V14" s="10" t="s">
        <v>318</v>
      </c>
      <c r="W14" s="10" t="s">
        <v>84</v>
      </c>
      <c r="X14" s="10" t="s">
        <v>317</v>
      </c>
      <c r="Y14" s="10" t="s">
        <v>85</v>
      </c>
    </row>
    <row r="15" spans="1:25" x14ac:dyDescent="0.45">
      <c r="A15" s="11" t="s">
        <v>280</v>
      </c>
      <c r="B15" s="11" t="s">
        <v>141</v>
      </c>
    </row>
    <row r="16" spans="1:25" x14ac:dyDescent="0.45">
      <c r="A16" s="10" t="s">
        <v>276</v>
      </c>
      <c r="B16" s="10" t="s">
        <v>275</v>
      </c>
      <c r="C16" s="10" t="s">
        <v>45</v>
      </c>
      <c r="D16" s="10" t="s">
        <v>274</v>
      </c>
      <c r="E16" s="10" t="s">
        <v>20</v>
      </c>
      <c r="F16" s="10" t="s">
        <v>273</v>
      </c>
      <c r="G16" s="10" t="s">
        <v>19</v>
      </c>
      <c r="H16" s="10"/>
      <c r="I16" s="10"/>
      <c r="J16" s="10" t="s">
        <v>223</v>
      </c>
      <c r="K16" s="10" t="s">
        <v>7</v>
      </c>
      <c r="L16" s="10"/>
      <c r="M16" s="10" t="s">
        <v>272</v>
      </c>
      <c r="N16" s="10" t="s">
        <v>271</v>
      </c>
      <c r="O16" s="10" t="s">
        <v>67</v>
      </c>
      <c r="P16" s="10" t="s">
        <v>270</v>
      </c>
      <c r="Q16" s="10" t="s">
        <v>69</v>
      </c>
      <c r="R16" s="10" t="s">
        <v>269</v>
      </c>
      <c r="S16" s="10" t="s">
        <v>80</v>
      </c>
      <c r="T16" s="10" t="s">
        <v>268</v>
      </c>
      <c r="U16" s="10" t="s">
        <v>21</v>
      </c>
      <c r="V16" s="10" t="s">
        <v>267</v>
      </c>
      <c r="W16" s="10" t="s">
        <v>68</v>
      </c>
      <c r="X16" s="10" t="s">
        <v>266</v>
      </c>
      <c r="Y16" s="10" t="s">
        <v>39</v>
      </c>
    </row>
    <row r="17" spans="1:15" x14ac:dyDescent="0.45">
      <c r="A17" s="11" t="s">
        <v>275</v>
      </c>
      <c r="B17" s="11" t="s">
        <v>142</v>
      </c>
    </row>
    <row r="18" spans="1:15" x14ac:dyDescent="0.45">
      <c r="A18" s="10" t="s">
        <v>217</v>
      </c>
      <c r="B18" s="10" t="s">
        <v>216</v>
      </c>
      <c r="C18" s="10" t="s">
        <v>51</v>
      </c>
      <c r="D18" s="10" t="s">
        <v>215</v>
      </c>
      <c r="E18" s="10" t="s">
        <v>1</v>
      </c>
      <c r="F18" s="10" t="s">
        <v>264</v>
      </c>
      <c r="G18" s="10" t="s">
        <v>102</v>
      </c>
      <c r="H18" s="10"/>
      <c r="I18" s="10"/>
      <c r="J18" s="10" t="s">
        <v>213</v>
      </c>
      <c r="K18" s="10" t="s">
        <v>2</v>
      </c>
      <c r="L18" s="10"/>
      <c r="M18" s="10"/>
      <c r="N18" s="10" t="s">
        <v>263</v>
      </c>
      <c r="O18" s="10" t="s">
        <v>77</v>
      </c>
    </row>
    <row r="19" spans="1:15" x14ac:dyDescent="0.45">
      <c r="A19" s="10" t="s">
        <v>260</v>
      </c>
      <c r="B19" s="10" t="s">
        <v>259</v>
      </c>
      <c r="C19" s="10" t="s">
        <v>47</v>
      </c>
      <c r="D19" s="10" t="s">
        <v>258</v>
      </c>
      <c r="E19" s="10" t="s">
        <v>9</v>
      </c>
      <c r="F19" s="10" t="s">
        <v>257</v>
      </c>
      <c r="G19" s="10" t="s">
        <v>8</v>
      </c>
      <c r="H19" s="10"/>
      <c r="I19" s="10"/>
      <c r="J19" s="10" t="s">
        <v>223</v>
      </c>
      <c r="K19" s="10" t="s">
        <v>7</v>
      </c>
      <c r="L19" s="10"/>
      <c r="M19" s="10"/>
      <c r="N19" s="10" t="s">
        <v>262</v>
      </c>
      <c r="O19" s="10" t="s">
        <v>4</v>
      </c>
    </row>
    <row r="20" spans="1:15" x14ac:dyDescent="0.45">
      <c r="A20" s="10" t="s">
        <v>217</v>
      </c>
      <c r="B20" s="10" t="s">
        <v>216</v>
      </c>
      <c r="C20" s="10" t="s">
        <v>51</v>
      </c>
      <c r="D20" s="10" t="s">
        <v>258</v>
      </c>
      <c r="E20" s="10" t="s">
        <v>9</v>
      </c>
      <c r="F20" s="10" t="s">
        <v>257</v>
      </c>
      <c r="G20" s="10" t="s">
        <v>8</v>
      </c>
      <c r="H20" s="10"/>
      <c r="I20" s="10"/>
      <c r="J20" s="10" t="s">
        <v>219</v>
      </c>
      <c r="K20" s="10" t="s">
        <v>0</v>
      </c>
      <c r="L20" s="10"/>
      <c r="M20" s="10"/>
      <c r="N20" s="10" t="s">
        <v>261</v>
      </c>
      <c r="O20" s="10" t="s">
        <v>16</v>
      </c>
    </row>
    <row r="21" spans="1:15" x14ac:dyDescent="0.45">
      <c r="A21" s="10" t="s">
        <v>260</v>
      </c>
      <c r="B21" s="10" t="s">
        <v>259</v>
      </c>
      <c r="C21" s="10" t="s">
        <v>47</v>
      </c>
      <c r="D21" s="10" t="s">
        <v>258</v>
      </c>
      <c r="E21" s="10" t="s">
        <v>9</v>
      </c>
      <c r="F21" s="10" t="s">
        <v>257</v>
      </c>
      <c r="G21" s="10" t="s">
        <v>8</v>
      </c>
      <c r="H21" s="10"/>
      <c r="I21" s="10"/>
      <c r="J21" s="10" t="s">
        <v>223</v>
      </c>
      <c r="K21" s="10" t="s">
        <v>7</v>
      </c>
      <c r="L21" s="10"/>
      <c r="M21" s="10"/>
      <c r="N21" s="10" t="s">
        <v>256</v>
      </c>
      <c r="O21" s="10" t="s">
        <v>12</v>
      </c>
    </row>
    <row r="22" spans="1:15" x14ac:dyDescent="0.45">
      <c r="A22" s="10" t="s">
        <v>217</v>
      </c>
      <c r="B22" s="10" t="s">
        <v>216</v>
      </c>
      <c r="C22" s="10" t="s">
        <v>51</v>
      </c>
      <c r="D22" s="10" t="s">
        <v>255</v>
      </c>
      <c r="E22" s="10" t="s">
        <v>6</v>
      </c>
      <c r="F22" s="10" t="s">
        <v>254</v>
      </c>
      <c r="G22" s="10" t="s">
        <v>100</v>
      </c>
      <c r="H22" s="10"/>
      <c r="I22" s="10"/>
      <c r="J22" s="10" t="s">
        <v>219</v>
      </c>
      <c r="K22" s="10" t="s">
        <v>0</v>
      </c>
      <c r="L22" s="10"/>
      <c r="M22" s="10"/>
      <c r="N22" s="10" t="s">
        <v>253</v>
      </c>
      <c r="O22" s="10" t="s">
        <v>75</v>
      </c>
    </row>
    <row r="23" spans="1:15" x14ac:dyDescent="0.45">
      <c r="A23" s="10" t="s">
        <v>228</v>
      </c>
      <c r="B23" s="10" t="s">
        <v>227</v>
      </c>
      <c r="C23" s="10" t="s">
        <v>48</v>
      </c>
      <c r="D23" s="10" t="s">
        <v>238</v>
      </c>
      <c r="E23" s="10" t="s">
        <v>66</v>
      </c>
      <c r="F23" s="10" t="s">
        <v>251</v>
      </c>
      <c r="G23" s="10" t="s">
        <v>65</v>
      </c>
      <c r="H23" s="10"/>
      <c r="I23" s="10"/>
      <c r="J23" s="10" t="s">
        <v>219</v>
      </c>
      <c r="K23" s="10" t="s">
        <v>0</v>
      </c>
      <c r="L23" s="10"/>
      <c r="M23" s="10"/>
      <c r="N23" s="10" t="s">
        <v>252</v>
      </c>
      <c r="O23" s="10" t="s">
        <v>72</v>
      </c>
    </row>
    <row r="24" spans="1:15" x14ac:dyDescent="0.45">
      <c r="A24" s="10" t="s">
        <v>217</v>
      </c>
      <c r="B24" s="10" t="s">
        <v>216</v>
      </c>
      <c r="C24" s="10" t="s">
        <v>51</v>
      </c>
      <c r="D24" s="10" t="s">
        <v>238</v>
      </c>
      <c r="E24" s="10" t="s">
        <v>66</v>
      </c>
      <c r="F24" s="10" t="s">
        <v>251</v>
      </c>
      <c r="G24" s="10" t="s">
        <v>65</v>
      </c>
      <c r="H24" s="10"/>
      <c r="I24" s="10"/>
      <c r="J24" s="10" t="s">
        <v>219</v>
      </c>
      <c r="K24" s="10" t="s">
        <v>0</v>
      </c>
      <c r="L24" s="10"/>
      <c r="M24" s="10"/>
      <c r="N24" s="10" t="s">
        <v>250</v>
      </c>
      <c r="O24" s="10" t="s">
        <v>76</v>
      </c>
    </row>
    <row r="25" spans="1:15" x14ac:dyDescent="0.45">
      <c r="A25" s="10" t="s">
        <v>248</v>
      </c>
      <c r="B25" s="10" t="s">
        <v>247</v>
      </c>
      <c r="C25" s="10" t="s">
        <v>52</v>
      </c>
      <c r="D25" s="10" t="s">
        <v>233</v>
      </c>
      <c r="E25" s="10" t="s">
        <v>44</v>
      </c>
      <c r="F25" s="10" t="s">
        <v>246</v>
      </c>
      <c r="G25" s="10" t="s">
        <v>42</v>
      </c>
      <c r="H25" s="10"/>
      <c r="I25" s="10"/>
      <c r="J25" s="10" t="s">
        <v>231</v>
      </c>
      <c r="K25" s="10" t="s">
        <v>40</v>
      </c>
      <c r="L25" s="10"/>
      <c r="M25" s="10"/>
      <c r="N25" s="10" t="s">
        <v>249</v>
      </c>
      <c r="O25" s="10" t="s">
        <v>79</v>
      </c>
    </row>
    <row r="26" spans="1:15" x14ac:dyDescent="0.45">
      <c r="A26" s="10" t="s">
        <v>248</v>
      </c>
      <c r="B26" s="10" t="s">
        <v>247</v>
      </c>
      <c r="C26" s="10" t="s">
        <v>52</v>
      </c>
      <c r="D26" s="10" t="s">
        <v>233</v>
      </c>
      <c r="E26" s="10" t="s">
        <v>44</v>
      </c>
      <c r="F26" s="10" t="s">
        <v>246</v>
      </c>
      <c r="G26" s="10" t="s">
        <v>42</v>
      </c>
      <c r="H26" s="10"/>
      <c r="I26" s="10"/>
      <c r="J26" s="10" t="s">
        <v>231</v>
      </c>
      <c r="K26" s="10" t="s">
        <v>40</v>
      </c>
      <c r="L26" s="10"/>
      <c r="M26" s="10"/>
      <c r="N26" s="10" t="s">
        <v>245</v>
      </c>
      <c r="O26" s="10" t="s">
        <v>23</v>
      </c>
    </row>
    <row r="27" spans="1:15" x14ac:dyDescent="0.45">
      <c r="A27" s="10" t="s">
        <v>260</v>
      </c>
      <c r="B27" s="10" t="s">
        <v>259</v>
      </c>
      <c r="C27" s="10" t="s">
        <v>47</v>
      </c>
      <c r="D27" s="10" t="s">
        <v>258</v>
      </c>
      <c r="E27" s="10" t="s">
        <v>9</v>
      </c>
      <c r="F27" s="10" t="s">
        <v>257</v>
      </c>
      <c r="G27" s="10" t="s">
        <v>8</v>
      </c>
      <c r="H27" s="10"/>
      <c r="I27" s="10"/>
      <c r="J27" s="10" t="s">
        <v>223</v>
      </c>
      <c r="K27" s="10" t="s">
        <v>7</v>
      </c>
      <c r="L27" s="10"/>
      <c r="M27" s="10"/>
      <c r="N27" s="10" t="s">
        <v>262</v>
      </c>
      <c r="O27" s="10" t="s">
        <v>4</v>
      </c>
    </row>
    <row r="28" spans="1:15" x14ac:dyDescent="0.45">
      <c r="A28" s="10" t="s">
        <v>260</v>
      </c>
      <c r="B28" s="10" t="s">
        <v>259</v>
      </c>
      <c r="C28" s="10" t="s">
        <v>47</v>
      </c>
      <c r="D28" s="10" t="s">
        <v>258</v>
      </c>
      <c r="E28" s="10" t="s">
        <v>9</v>
      </c>
      <c r="F28" s="10" t="s">
        <v>257</v>
      </c>
      <c r="G28" s="10" t="s">
        <v>8</v>
      </c>
      <c r="H28" s="10"/>
      <c r="I28" s="10"/>
      <c r="J28" s="10" t="s">
        <v>223</v>
      </c>
      <c r="K28" s="10" t="s">
        <v>7</v>
      </c>
      <c r="L28" s="10"/>
      <c r="M28" s="10"/>
      <c r="N28" s="10" t="s">
        <v>256</v>
      </c>
      <c r="O28" s="10" t="s">
        <v>12</v>
      </c>
    </row>
    <row r="29" spans="1:15" x14ac:dyDescent="0.45">
      <c r="A29" s="10" t="s">
        <v>228</v>
      </c>
      <c r="B29" s="10" t="s">
        <v>227</v>
      </c>
      <c r="C29" s="10" t="s">
        <v>48</v>
      </c>
      <c r="D29" s="10" t="s">
        <v>215</v>
      </c>
      <c r="E29" s="10" t="s">
        <v>1</v>
      </c>
      <c r="F29" s="10" t="s">
        <v>243</v>
      </c>
      <c r="G29" s="10" t="s">
        <v>131</v>
      </c>
      <c r="H29" s="10"/>
      <c r="I29" s="10"/>
      <c r="J29" s="10" t="s">
        <v>213</v>
      </c>
      <c r="K29" s="10" t="s">
        <v>2</v>
      </c>
      <c r="L29" s="10"/>
      <c r="M29" s="10"/>
      <c r="N29" s="10" t="s">
        <v>244</v>
      </c>
      <c r="O29" s="10" t="s">
        <v>126</v>
      </c>
    </row>
    <row r="30" spans="1:15" x14ac:dyDescent="0.45">
      <c r="A30" s="10" t="s">
        <v>217</v>
      </c>
      <c r="B30" s="10" t="s">
        <v>216</v>
      </c>
      <c r="C30" s="10" t="s">
        <v>51</v>
      </c>
      <c r="D30" s="10" t="s">
        <v>215</v>
      </c>
      <c r="E30" s="10" t="s">
        <v>1</v>
      </c>
      <c r="F30" s="10" t="s">
        <v>243</v>
      </c>
      <c r="G30" s="10" t="s">
        <v>131</v>
      </c>
      <c r="H30" s="10"/>
      <c r="I30" s="10"/>
      <c r="J30" s="10" t="s">
        <v>213</v>
      </c>
      <c r="K30" s="10" t="s">
        <v>2</v>
      </c>
      <c r="L30" s="10"/>
      <c r="M30" s="10"/>
      <c r="N30" s="10" t="s">
        <v>242</v>
      </c>
      <c r="O30" s="10" t="s">
        <v>128</v>
      </c>
    </row>
    <row r="31" spans="1:15" x14ac:dyDescent="0.45">
      <c r="A31" s="10" t="s">
        <v>228</v>
      </c>
      <c r="B31" s="10" t="s">
        <v>227</v>
      </c>
      <c r="C31" s="10" t="s">
        <v>48</v>
      </c>
      <c r="D31" s="10" t="s">
        <v>238</v>
      </c>
      <c r="E31" s="10" t="s">
        <v>66</v>
      </c>
      <c r="F31" s="10" t="s">
        <v>237</v>
      </c>
      <c r="G31" s="10" t="s">
        <v>161</v>
      </c>
      <c r="H31" s="10"/>
      <c r="I31" s="10"/>
      <c r="J31" s="10" t="s">
        <v>219</v>
      </c>
      <c r="K31" s="10" t="s">
        <v>0</v>
      </c>
      <c r="L31" s="10"/>
      <c r="M31" s="10"/>
      <c r="N31" s="10" t="s">
        <v>241</v>
      </c>
      <c r="O31" s="10" t="s">
        <v>73</v>
      </c>
    </row>
    <row r="32" spans="1:15" x14ac:dyDescent="0.45">
      <c r="A32" s="10" t="s">
        <v>240</v>
      </c>
      <c r="B32" s="10" t="s">
        <v>239</v>
      </c>
      <c r="C32" s="10" t="s">
        <v>53</v>
      </c>
      <c r="D32" s="10" t="s">
        <v>238</v>
      </c>
      <c r="E32" s="10" t="s">
        <v>66</v>
      </c>
      <c r="F32" s="10" t="s">
        <v>237</v>
      </c>
      <c r="G32" s="10" t="s">
        <v>161</v>
      </c>
      <c r="H32" s="10"/>
      <c r="I32" s="10"/>
      <c r="J32" s="10" t="s">
        <v>219</v>
      </c>
      <c r="K32" s="10" t="s">
        <v>0</v>
      </c>
      <c r="L32" s="10"/>
      <c r="M32" s="10"/>
      <c r="N32" s="10" t="s">
        <v>236</v>
      </c>
      <c r="O32" s="10" t="s">
        <v>36</v>
      </c>
    </row>
    <row r="33" spans="1:15" x14ac:dyDescent="0.45">
      <c r="A33" s="10" t="s">
        <v>235</v>
      </c>
      <c r="B33" s="10" t="s">
        <v>234</v>
      </c>
      <c r="C33" s="10" t="s">
        <v>49</v>
      </c>
      <c r="D33" s="10" t="s">
        <v>233</v>
      </c>
      <c r="E33" s="10" t="s">
        <v>44</v>
      </c>
      <c r="F33" s="10" t="s">
        <v>232</v>
      </c>
      <c r="G33" s="10" t="s">
        <v>211</v>
      </c>
      <c r="H33" s="10"/>
      <c r="I33" s="10"/>
      <c r="J33" s="10" t="s">
        <v>231</v>
      </c>
      <c r="K33" s="10" t="s">
        <v>40</v>
      </c>
      <c r="L33" s="10"/>
      <c r="M33" s="10"/>
      <c r="N33" s="10" t="s">
        <v>230</v>
      </c>
      <c r="O33" s="10" t="s">
        <v>24</v>
      </c>
    </row>
    <row r="34" spans="1:15" x14ac:dyDescent="0.45">
      <c r="A34" s="10" t="s">
        <v>228</v>
      </c>
      <c r="B34" s="10" t="s">
        <v>227</v>
      </c>
      <c r="C34" s="10" t="s">
        <v>48</v>
      </c>
      <c r="D34" s="10" t="s">
        <v>226</v>
      </c>
      <c r="E34" s="10" t="s">
        <v>13</v>
      </c>
      <c r="F34" s="10" t="s">
        <v>225</v>
      </c>
      <c r="G34" s="10" t="s">
        <v>14</v>
      </c>
      <c r="H34" s="10"/>
      <c r="I34" s="10"/>
      <c r="J34" s="10" t="s">
        <v>219</v>
      </c>
      <c r="K34" s="10" t="s">
        <v>0</v>
      </c>
      <c r="L34" s="10"/>
      <c r="M34" s="10"/>
      <c r="N34" s="10" t="s">
        <v>229</v>
      </c>
      <c r="O34" s="10" t="s">
        <v>70</v>
      </c>
    </row>
    <row r="35" spans="1:15" x14ac:dyDescent="0.45">
      <c r="A35" s="10" t="s">
        <v>228</v>
      </c>
      <c r="B35" s="10" t="s">
        <v>227</v>
      </c>
      <c r="C35" s="10" t="s">
        <v>48</v>
      </c>
      <c r="D35" s="10" t="s">
        <v>226</v>
      </c>
      <c r="E35" s="10" t="s">
        <v>13</v>
      </c>
      <c r="F35" s="10" t="s">
        <v>225</v>
      </c>
      <c r="G35" s="10" t="s">
        <v>14</v>
      </c>
      <c r="H35" s="10"/>
      <c r="I35" s="10"/>
      <c r="J35" s="10" t="s">
        <v>219</v>
      </c>
      <c r="K35" s="10" t="s">
        <v>0</v>
      </c>
      <c r="L35" s="10"/>
      <c r="M35" s="10"/>
      <c r="N35" s="10" t="s">
        <v>224</v>
      </c>
      <c r="O35" s="10" t="s">
        <v>71</v>
      </c>
    </row>
    <row r="36" spans="1:15" x14ac:dyDescent="0.45">
      <c r="A36" s="10" t="s">
        <v>217</v>
      </c>
      <c r="B36" s="10" t="s">
        <v>216</v>
      </c>
      <c r="C36" s="10" t="s">
        <v>51</v>
      </c>
      <c r="D36" s="10" t="s">
        <v>221</v>
      </c>
      <c r="E36" s="10" t="s">
        <v>43</v>
      </c>
      <c r="F36" s="10" t="s">
        <v>220</v>
      </c>
      <c r="G36" s="10" t="s">
        <v>41</v>
      </c>
      <c r="H36" s="10"/>
      <c r="I36" s="10"/>
      <c r="J36" s="10" t="s">
        <v>223</v>
      </c>
      <c r="K36" s="10" t="s">
        <v>7</v>
      </c>
      <c r="L36" s="10"/>
      <c r="M36" s="10"/>
      <c r="N36" s="10" t="s">
        <v>222</v>
      </c>
      <c r="O36" s="10" t="s">
        <v>11</v>
      </c>
    </row>
    <row r="37" spans="1:15" x14ac:dyDescent="0.45">
      <c r="A37" s="10" t="s">
        <v>217</v>
      </c>
      <c r="B37" s="10" t="s">
        <v>216</v>
      </c>
      <c r="C37" s="10" t="s">
        <v>51</v>
      </c>
      <c r="D37" s="10" t="s">
        <v>221</v>
      </c>
      <c r="E37" s="10" t="s">
        <v>43</v>
      </c>
      <c r="F37" s="10" t="s">
        <v>220</v>
      </c>
      <c r="G37" s="10" t="s">
        <v>41</v>
      </c>
      <c r="H37" s="10"/>
      <c r="I37" s="10"/>
      <c r="J37" s="10" t="s">
        <v>219</v>
      </c>
      <c r="K37" s="10" t="s">
        <v>0</v>
      </c>
      <c r="L37" s="10"/>
      <c r="M37" s="10"/>
      <c r="N37" s="10" t="s">
        <v>218</v>
      </c>
      <c r="O37" s="10" t="s">
        <v>74</v>
      </c>
    </row>
    <row r="38" spans="1:15" x14ac:dyDescent="0.45">
      <c r="A38" s="10" t="s">
        <v>217</v>
      </c>
      <c r="B38" s="10" t="s">
        <v>216</v>
      </c>
      <c r="C38" s="10" t="s">
        <v>51</v>
      </c>
      <c r="D38" s="10" t="s">
        <v>215</v>
      </c>
      <c r="E38" s="10" t="s">
        <v>1</v>
      </c>
      <c r="F38" s="10" t="s">
        <v>214</v>
      </c>
      <c r="G38" s="10" t="s">
        <v>103</v>
      </c>
      <c r="H38" s="10"/>
      <c r="I38" s="10"/>
      <c r="J38" s="10" t="s">
        <v>213</v>
      </c>
      <c r="K38" s="10" t="s">
        <v>2</v>
      </c>
      <c r="L38" s="10"/>
      <c r="M38" s="10"/>
      <c r="N38" s="10" t="s">
        <v>212</v>
      </c>
      <c r="O38" s="10" t="s">
        <v>168</v>
      </c>
    </row>
    <row r="39" spans="1:15" x14ac:dyDescent="0.45">
      <c r="A39" s="11" t="s">
        <v>316</v>
      </c>
      <c r="B39" s="11" t="s">
        <v>144</v>
      </c>
    </row>
    <row r="40" spans="1:15" x14ac:dyDescent="0.45">
      <c r="A40" s="10" t="s">
        <v>303</v>
      </c>
      <c r="B40" s="10" t="s">
        <v>302</v>
      </c>
      <c r="C40" s="10" t="s">
        <v>61</v>
      </c>
      <c r="D40" s="10" t="s">
        <v>315</v>
      </c>
      <c r="E40" s="10" t="s">
        <v>110</v>
      </c>
      <c r="F40" s="10" t="s">
        <v>312</v>
      </c>
      <c r="G40" s="10" t="s">
        <v>99</v>
      </c>
      <c r="H40" s="10"/>
      <c r="I40" s="10"/>
      <c r="J40" s="10" t="s">
        <v>213</v>
      </c>
      <c r="K40" s="10" t="s">
        <v>2</v>
      </c>
      <c r="L40" s="10"/>
      <c r="M40" s="10"/>
      <c r="N40" s="10" t="s">
        <v>314</v>
      </c>
      <c r="O40" s="10" t="s">
        <v>93</v>
      </c>
    </row>
    <row r="41" spans="1:15" x14ac:dyDescent="0.45">
      <c r="A41" s="10" t="s">
        <v>303</v>
      </c>
      <c r="B41" s="10" t="s">
        <v>302</v>
      </c>
      <c r="C41" s="10" t="s">
        <v>61</v>
      </c>
      <c r="D41" s="10" t="s">
        <v>315</v>
      </c>
      <c r="E41" s="10" t="s">
        <v>110</v>
      </c>
      <c r="F41" s="10" t="s">
        <v>312</v>
      </c>
      <c r="G41" s="10" t="s">
        <v>99</v>
      </c>
      <c r="H41" s="10"/>
      <c r="I41" s="10"/>
      <c r="J41" s="10" t="s">
        <v>213</v>
      </c>
      <c r="K41" s="10" t="s">
        <v>2</v>
      </c>
      <c r="L41" s="10"/>
      <c r="M41" s="10"/>
      <c r="N41" s="10" t="s">
        <v>314</v>
      </c>
      <c r="O41" s="10" t="s">
        <v>93</v>
      </c>
    </row>
    <row r="42" spans="1:15" x14ac:dyDescent="0.45">
      <c r="A42" s="10" t="s">
        <v>303</v>
      </c>
      <c r="B42" s="10" t="s">
        <v>302</v>
      </c>
      <c r="C42" s="10" t="s">
        <v>61</v>
      </c>
      <c r="D42" s="10" t="s">
        <v>313</v>
      </c>
      <c r="E42" s="10" t="s">
        <v>111</v>
      </c>
      <c r="F42" s="10" t="s">
        <v>312</v>
      </c>
      <c r="G42" s="10" t="s">
        <v>99</v>
      </c>
      <c r="H42" s="10"/>
      <c r="I42" s="10"/>
      <c r="J42" s="10" t="s">
        <v>213</v>
      </c>
      <c r="K42" s="10" t="s">
        <v>2</v>
      </c>
      <c r="L42" s="10"/>
      <c r="M42" s="10"/>
      <c r="N42" s="10" t="s">
        <v>311</v>
      </c>
      <c r="O42" s="10" t="s">
        <v>94</v>
      </c>
    </row>
    <row r="43" spans="1:15" x14ac:dyDescent="0.45">
      <c r="A43" s="10" t="s">
        <v>303</v>
      </c>
      <c r="B43" s="10" t="s">
        <v>302</v>
      </c>
      <c r="C43" s="10" t="s">
        <v>61</v>
      </c>
      <c r="D43" s="10" t="s">
        <v>313</v>
      </c>
      <c r="E43" s="10" t="s">
        <v>111</v>
      </c>
      <c r="F43" s="10" t="s">
        <v>312</v>
      </c>
      <c r="G43" s="10" t="s">
        <v>99</v>
      </c>
      <c r="H43" s="10"/>
      <c r="I43" s="10"/>
      <c r="J43" s="10" t="s">
        <v>213</v>
      </c>
      <c r="K43" s="10" t="s">
        <v>2</v>
      </c>
      <c r="L43" s="10"/>
      <c r="M43" s="10"/>
      <c r="N43" s="10" t="s">
        <v>311</v>
      </c>
      <c r="O43" s="10" t="s">
        <v>94</v>
      </c>
    </row>
    <row r="44" spans="1:15" x14ac:dyDescent="0.45">
      <c r="A44" s="10" t="s">
        <v>303</v>
      </c>
      <c r="B44" s="10" t="s">
        <v>302</v>
      </c>
      <c r="C44" s="10" t="s">
        <v>61</v>
      </c>
      <c r="D44" s="10" t="s">
        <v>310</v>
      </c>
      <c r="E44" s="10" t="s">
        <v>22</v>
      </c>
      <c r="F44" s="10" t="s">
        <v>309</v>
      </c>
      <c r="G44" s="10" t="s">
        <v>18</v>
      </c>
      <c r="H44" s="10"/>
      <c r="I44" s="10"/>
      <c r="J44" s="10" t="s">
        <v>223</v>
      </c>
      <c r="K44" s="10" t="s">
        <v>7</v>
      </c>
      <c r="L44" s="10"/>
      <c r="M44" s="10"/>
      <c r="N44" s="10" t="s">
        <v>308</v>
      </c>
      <c r="O44" s="10" t="s">
        <v>96</v>
      </c>
    </row>
    <row r="45" spans="1:15" x14ac:dyDescent="0.45">
      <c r="A45" s="10" t="s">
        <v>303</v>
      </c>
      <c r="B45" s="10" t="s">
        <v>302</v>
      </c>
      <c r="C45" s="10" t="s">
        <v>61</v>
      </c>
      <c r="D45" s="10" t="s">
        <v>310</v>
      </c>
      <c r="E45" s="10" t="s">
        <v>22</v>
      </c>
      <c r="F45" s="10" t="s">
        <v>309</v>
      </c>
      <c r="G45" s="10" t="s">
        <v>18</v>
      </c>
      <c r="H45" s="10"/>
      <c r="I45" s="10"/>
      <c r="J45" s="10" t="s">
        <v>223</v>
      </c>
      <c r="K45" s="10" t="s">
        <v>7</v>
      </c>
      <c r="L45" s="10"/>
      <c r="M45" s="10"/>
      <c r="N45" s="10" t="s">
        <v>308</v>
      </c>
      <c r="O45" s="10" t="s">
        <v>96</v>
      </c>
    </row>
    <row r="46" spans="1:15" x14ac:dyDescent="0.45">
      <c r="A46" s="10" t="s">
        <v>303</v>
      </c>
      <c r="B46" s="10" t="s">
        <v>302</v>
      </c>
      <c r="C46" s="10" t="s">
        <v>61</v>
      </c>
      <c r="D46" s="10" t="s">
        <v>279</v>
      </c>
      <c r="E46" s="10" t="s">
        <v>109</v>
      </c>
      <c r="F46" s="10" t="s">
        <v>278</v>
      </c>
      <c r="G46" s="10" t="s">
        <v>105</v>
      </c>
      <c r="H46" s="10"/>
      <c r="I46" s="10"/>
      <c r="J46" s="10" t="s">
        <v>223</v>
      </c>
      <c r="K46" s="10" t="s">
        <v>7</v>
      </c>
      <c r="L46" s="10"/>
      <c r="M46" s="10"/>
      <c r="N46" s="10" t="s">
        <v>307</v>
      </c>
      <c r="O46" s="10" t="s">
        <v>95</v>
      </c>
    </row>
    <row r="47" spans="1:15" x14ac:dyDescent="0.45">
      <c r="A47" s="10" t="s">
        <v>303</v>
      </c>
      <c r="B47" s="10" t="s">
        <v>302</v>
      </c>
      <c r="C47" s="10" t="s">
        <v>61</v>
      </c>
      <c r="D47" s="10" t="s">
        <v>279</v>
      </c>
      <c r="E47" s="10" t="s">
        <v>109</v>
      </c>
      <c r="F47" s="10" t="s">
        <v>278</v>
      </c>
      <c r="G47" s="10" t="s">
        <v>105</v>
      </c>
      <c r="H47" s="10"/>
      <c r="I47" s="10"/>
      <c r="J47" s="10" t="s">
        <v>231</v>
      </c>
      <c r="K47" s="10" t="s">
        <v>40</v>
      </c>
      <c r="L47" s="10"/>
      <c r="M47" s="10"/>
      <c r="N47" s="10" t="s">
        <v>306</v>
      </c>
      <c r="O47" s="10" t="s">
        <v>37</v>
      </c>
    </row>
    <row r="48" spans="1:15" x14ac:dyDescent="0.45">
      <c r="A48" s="10" t="s">
        <v>303</v>
      </c>
      <c r="B48" s="10" t="s">
        <v>302</v>
      </c>
      <c r="C48" s="10" t="s">
        <v>61</v>
      </c>
      <c r="D48" s="10" t="s">
        <v>279</v>
      </c>
      <c r="E48" s="10" t="s">
        <v>109</v>
      </c>
      <c r="F48" s="10" t="s">
        <v>278</v>
      </c>
      <c r="G48" s="10" t="s">
        <v>105</v>
      </c>
      <c r="H48" s="10"/>
      <c r="I48" s="10"/>
      <c r="J48" s="10" t="s">
        <v>231</v>
      </c>
      <c r="K48" s="10" t="s">
        <v>40</v>
      </c>
      <c r="L48" s="10"/>
      <c r="M48" s="10"/>
      <c r="N48" s="10" t="s">
        <v>305</v>
      </c>
      <c r="O48" s="10" t="s">
        <v>38</v>
      </c>
    </row>
    <row r="49" spans="1:15" x14ac:dyDescent="0.45">
      <c r="A49" s="10" t="s">
        <v>303</v>
      </c>
      <c r="B49" s="10" t="s">
        <v>302</v>
      </c>
      <c r="C49" s="10" t="s">
        <v>61</v>
      </c>
      <c r="D49" s="10" t="s">
        <v>279</v>
      </c>
      <c r="E49" s="10" t="s">
        <v>109</v>
      </c>
      <c r="F49" s="10" t="s">
        <v>278</v>
      </c>
      <c r="G49" s="10" t="s">
        <v>105</v>
      </c>
      <c r="H49" s="10"/>
      <c r="I49" s="10"/>
      <c r="J49" s="10" t="s">
        <v>223</v>
      </c>
      <c r="K49" s="10" t="s">
        <v>7</v>
      </c>
      <c r="L49" s="10"/>
      <c r="M49" s="10"/>
      <c r="N49" s="10" t="s">
        <v>307</v>
      </c>
      <c r="O49" s="10" t="s">
        <v>95</v>
      </c>
    </row>
    <row r="50" spans="1:15" x14ac:dyDescent="0.45">
      <c r="A50" s="10" t="s">
        <v>303</v>
      </c>
      <c r="B50" s="10" t="s">
        <v>302</v>
      </c>
      <c r="C50" s="10" t="s">
        <v>61</v>
      </c>
      <c r="D50" s="10" t="s">
        <v>279</v>
      </c>
      <c r="E50" s="10" t="s">
        <v>109</v>
      </c>
      <c r="F50" s="10" t="s">
        <v>278</v>
      </c>
      <c r="G50" s="10" t="s">
        <v>105</v>
      </c>
      <c r="H50" s="10"/>
      <c r="I50" s="10"/>
      <c r="J50" s="10" t="s">
        <v>231</v>
      </c>
      <c r="K50" s="10" t="s">
        <v>40</v>
      </c>
      <c r="L50" s="10"/>
      <c r="M50" s="10"/>
      <c r="N50" s="10" t="s">
        <v>306</v>
      </c>
      <c r="O50" s="10" t="s">
        <v>37</v>
      </c>
    </row>
    <row r="51" spans="1:15" x14ac:dyDescent="0.45">
      <c r="A51" s="10" t="s">
        <v>303</v>
      </c>
      <c r="B51" s="10" t="s">
        <v>302</v>
      </c>
      <c r="C51" s="10" t="s">
        <v>61</v>
      </c>
      <c r="D51" s="10" t="s">
        <v>279</v>
      </c>
      <c r="E51" s="10" t="s">
        <v>109</v>
      </c>
      <c r="F51" s="10" t="s">
        <v>278</v>
      </c>
      <c r="G51" s="10" t="s">
        <v>105</v>
      </c>
      <c r="H51" s="10"/>
      <c r="I51" s="10"/>
      <c r="J51" s="10" t="s">
        <v>231</v>
      </c>
      <c r="K51" s="10" t="s">
        <v>40</v>
      </c>
      <c r="L51" s="10"/>
      <c r="M51" s="10"/>
      <c r="N51" s="10" t="s">
        <v>305</v>
      </c>
      <c r="O51" s="10" t="s">
        <v>38</v>
      </c>
    </row>
    <row r="52" spans="1:15" x14ac:dyDescent="0.45">
      <c r="A52" s="10" t="s">
        <v>303</v>
      </c>
      <c r="B52" s="10" t="s">
        <v>302</v>
      </c>
      <c r="C52" s="10" t="s">
        <v>61</v>
      </c>
      <c r="D52" s="10" t="s">
        <v>221</v>
      </c>
      <c r="E52" s="10" t="s">
        <v>43</v>
      </c>
      <c r="F52" s="10" t="s">
        <v>220</v>
      </c>
      <c r="G52" s="10" t="s">
        <v>41</v>
      </c>
      <c r="H52" s="10"/>
      <c r="I52" s="10"/>
      <c r="J52" s="10" t="s">
        <v>223</v>
      </c>
      <c r="K52" s="10" t="s">
        <v>7</v>
      </c>
      <c r="L52" s="10"/>
      <c r="M52" s="10"/>
      <c r="N52" s="10" t="s">
        <v>304</v>
      </c>
      <c r="O52" s="10" t="s">
        <v>35</v>
      </c>
    </row>
    <row r="53" spans="1:15" x14ac:dyDescent="0.45">
      <c r="A53" s="10" t="s">
        <v>303</v>
      </c>
      <c r="B53" s="10" t="s">
        <v>302</v>
      </c>
      <c r="C53" s="10" t="s">
        <v>61</v>
      </c>
      <c r="D53" s="10" t="s">
        <v>221</v>
      </c>
      <c r="E53" s="10" t="s">
        <v>43</v>
      </c>
      <c r="F53" s="10" t="s">
        <v>220</v>
      </c>
      <c r="G53" s="10" t="s">
        <v>41</v>
      </c>
      <c r="H53" s="10"/>
      <c r="I53" s="10"/>
      <c r="J53" s="10" t="s">
        <v>223</v>
      </c>
      <c r="K53" s="10" t="s">
        <v>7</v>
      </c>
      <c r="L53" s="10"/>
      <c r="M53" s="10"/>
      <c r="N53" s="10" t="s">
        <v>304</v>
      </c>
      <c r="O53" s="10" t="s">
        <v>35</v>
      </c>
    </row>
    <row r="54" spans="1:15" x14ac:dyDescent="0.45">
      <c r="A54" s="10" t="s">
        <v>303</v>
      </c>
      <c r="B54" s="10" t="s">
        <v>302</v>
      </c>
      <c r="C54" s="10" t="s">
        <v>61</v>
      </c>
      <c r="D54" s="10" t="s">
        <v>301</v>
      </c>
      <c r="E54" s="10" t="s">
        <v>108</v>
      </c>
      <c r="F54" s="10" t="s">
        <v>300</v>
      </c>
      <c r="G54" s="10" t="s">
        <v>165</v>
      </c>
      <c r="H54" s="10"/>
      <c r="I54" s="10"/>
      <c r="J54" s="10" t="s">
        <v>223</v>
      </c>
      <c r="K54" s="10" t="s">
        <v>7</v>
      </c>
      <c r="L54" s="10"/>
      <c r="M54" s="10"/>
      <c r="N54" s="10" t="s">
        <v>299</v>
      </c>
      <c r="O54" s="10" t="s">
        <v>82</v>
      </c>
    </row>
    <row r="55" spans="1:15" x14ac:dyDescent="0.45">
      <c r="A55" s="10" t="s">
        <v>303</v>
      </c>
      <c r="B55" s="10" t="s">
        <v>302</v>
      </c>
      <c r="C55" s="10" t="s">
        <v>61</v>
      </c>
      <c r="D55" s="10" t="s">
        <v>301</v>
      </c>
      <c r="E55" s="10" t="s">
        <v>108</v>
      </c>
      <c r="F55" s="10" t="s">
        <v>300</v>
      </c>
      <c r="G55" s="10" t="s">
        <v>165</v>
      </c>
      <c r="H55" s="10"/>
      <c r="I55" s="10"/>
      <c r="J55" s="10" t="s">
        <v>223</v>
      </c>
      <c r="K55" s="10" t="s">
        <v>7</v>
      </c>
      <c r="L55" s="10"/>
      <c r="M55" s="10"/>
      <c r="N55" s="10" t="s">
        <v>299</v>
      </c>
      <c r="O55" s="10" t="s">
        <v>82</v>
      </c>
    </row>
    <row r="56" spans="1:15" x14ac:dyDescent="0.45">
      <c r="A56" s="11" t="s">
        <v>298</v>
      </c>
      <c r="B56" s="11" t="s">
        <v>297</v>
      </c>
    </row>
    <row r="57" spans="1:15" x14ac:dyDescent="0.45">
      <c r="A57" s="11" t="s">
        <v>296</v>
      </c>
      <c r="B57" s="11" t="s">
        <v>164</v>
      </c>
    </row>
    <row r="58" spans="1:15" x14ac:dyDescent="0.45">
      <c r="A58" s="10" t="s">
        <v>281</v>
      </c>
      <c r="B58" s="10" t="s">
        <v>280</v>
      </c>
      <c r="C58" s="10" t="s">
        <v>62</v>
      </c>
      <c r="D58" s="10" t="s">
        <v>274</v>
      </c>
      <c r="E58" s="10" t="s">
        <v>20</v>
      </c>
      <c r="F58" s="10" t="s">
        <v>273</v>
      </c>
      <c r="G58" s="10" t="s">
        <v>19</v>
      </c>
      <c r="H58" s="10"/>
      <c r="I58" s="10"/>
      <c r="J58" s="10" t="s">
        <v>219</v>
      </c>
      <c r="K58" s="10" t="s">
        <v>0</v>
      </c>
      <c r="L58" s="10"/>
      <c r="M58" s="10"/>
      <c r="N58" s="10" t="s">
        <v>295</v>
      </c>
      <c r="O58" s="10" t="s">
        <v>25</v>
      </c>
    </row>
    <row r="59" spans="1:15" x14ac:dyDescent="0.45">
      <c r="A59" s="10" t="s">
        <v>281</v>
      </c>
      <c r="B59" s="10" t="s">
        <v>280</v>
      </c>
      <c r="C59" s="10" t="s">
        <v>62</v>
      </c>
      <c r="D59" s="10" t="s">
        <v>274</v>
      </c>
      <c r="E59" s="10" t="s">
        <v>20</v>
      </c>
      <c r="F59" s="10" t="s">
        <v>273</v>
      </c>
      <c r="G59" s="10" t="s">
        <v>19</v>
      </c>
      <c r="H59" s="10"/>
      <c r="I59" s="10"/>
      <c r="J59" s="10" t="s">
        <v>219</v>
      </c>
      <c r="K59" s="10" t="s">
        <v>0</v>
      </c>
      <c r="L59" s="10"/>
      <c r="M59" s="10"/>
      <c r="N59" s="10" t="s">
        <v>294</v>
      </c>
      <c r="O59" s="10" t="s">
        <v>26</v>
      </c>
    </row>
    <row r="60" spans="1:15" x14ac:dyDescent="0.45">
      <c r="A60" s="10" t="s">
        <v>281</v>
      </c>
      <c r="B60" s="10" t="s">
        <v>280</v>
      </c>
      <c r="C60" s="10" t="s">
        <v>62</v>
      </c>
      <c r="D60" s="10" t="s">
        <v>274</v>
      </c>
      <c r="E60" s="10" t="s">
        <v>20</v>
      </c>
      <c r="F60" s="10" t="s">
        <v>273</v>
      </c>
      <c r="G60" s="10" t="s">
        <v>19</v>
      </c>
      <c r="H60" s="10"/>
      <c r="I60" s="10"/>
      <c r="J60" s="10" t="s">
        <v>219</v>
      </c>
      <c r="K60" s="10" t="s">
        <v>0</v>
      </c>
      <c r="L60" s="10"/>
      <c r="M60" s="10"/>
      <c r="N60" s="10" t="s">
        <v>293</v>
      </c>
      <c r="O60" s="10" t="s">
        <v>87</v>
      </c>
    </row>
    <row r="61" spans="1:15" x14ac:dyDescent="0.45">
      <c r="A61" s="10" t="s">
        <v>281</v>
      </c>
      <c r="B61" s="10" t="s">
        <v>280</v>
      </c>
      <c r="C61" s="10" t="s">
        <v>62</v>
      </c>
      <c r="D61" s="10" t="s">
        <v>274</v>
      </c>
      <c r="E61" s="10" t="s">
        <v>20</v>
      </c>
      <c r="F61" s="10" t="s">
        <v>273</v>
      </c>
      <c r="G61" s="10" t="s">
        <v>19</v>
      </c>
      <c r="H61" s="10"/>
      <c r="I61" s="10"/>
      <c r="J61" s="10" t="s">
        <v>219</v>
      </c>
      <c r="K61" s="10" t="s">
        <v>0</v>
      </c>
      <c r="L61" s="10"/>
      <c r="M61" s="10"/>
      <c r="N61" s="10" t="s">
        <v>292</v>
      </c>
      <c r="O61" s="10" t="s">
        <v>27</v>
      </c>
    </row>
    <row r="62" spans="1:15" x14ac:dyDescent="0.45">
      <c r="A62" s="10" t="s">
        <v>281</v>
      </c>
      <c r="B62" s="10" t="s">
        <v>280</v>
      </c>
      <c r="C62" s="10" t="s">
        <v>62</v>
      </c>
      <c r="D62" s="10" t="s">
        <v>274</v>
      </c>
      <c r="E62" s="10" t="s">
        <v>20</v>
      </c>
      <c r="F62" s="10" t="s">
        <v>273</v>
      </c>
      <c r="G62" s="10" t="s">
        <v>19</v>
      </c>
      <c r="H62" s="10"/>
      <c r="I62" s="10"/>
      <c r="J62" s="10" t="s">
        <v>219</v>
      </c>
      <c r="K62" s="10" t="s">
        <v>0</v>
      </c>
      <c r="L62" s="10"/>
      <c r="M62" s="10"/>
      <c r="N62" s="10" t="s">
        <v>295</v>
      </c>
      <c r="O62" s="10" t="s">
        <v>25</v>
      </c>
    </row>
    <row r="63" spans="1:15" x14ac:dyDescent="0.45">
      <c r="A63" s="10" t="s">
        <v>281</v>
      </c>
      <c r="B63" s="10" t="s">
        <v>280</v>
      </c>
      <c r="C63" s="10" t="s">
        <v>62</v>
      </c>
      <c r="D63" s="10" t="s">
        <v>274</v>
      </c>
      <c r="E63" s="10" t="s">
        <v>20</v>
      </c>
      <c r="F63" s="10" t="s">
        <v>273</v>
      </c>
      <c r="G63" s="10" t="s">
        <v>19</v>
      </c>
      <c r="H63" s="10"/>
      <c r="I63" s="10"/>
      <c r="J63" s="10" t="s">
        <v>219</v>
      </c>
      <c r="K63" s="10" t="s">
        <v>0</v>
      </c>
      <c r="L63" s="10"/>
      <c r="M63" s="10"/>
      <c r="N63" s="10" t="s">
        <v>294</v>
      </c>
      <c r="O63" s="10" t="s">
        <v>26</v>
      </c>
    </row>
    <row r="64" spans="1:15" x14ac:dyDescent="0.45">
      <c r="A64" s="10" t="s">
        <v>281</v>
      </c>
      <c r="B64" s="10" t="s">
        <v>280</v>
      </c>
      <c r="C64" s="10" t="s">
        <v>62</v>
      </c>
      <c r="D64" s="10" t="s">
        <v>274</v>
      </c>
      <c r="E64" s="10" t="s">
        <v>20</v>
      </c>
      <c r="F64" s="10" t="s">
        <v>273</v>
      </c>
      <c r="G64" s="10" t="s">
        <v>19</v>
      </c>
      <c r="H64" s="10"/>
      <c r="I64" s="10"/>
      <c r="J64" s="10" t="s">
        <v>219</v>
      </c>
      <c r="K64" s="10" t="s">
        <v>0</v>
      </c>
      <c r="L64" s="10"/>
      <c r="M64" s="10"/>
      <c r="N64" s="10" t="s">
        <v>293</v>
      </c>
      <c r="O64" s="10" t="s">
        <v>87</v>
      </c>
    </row>
    <row r="65" spans="1:15" x14ac:dyDescent="0.45">
      <c r="A65" s="10" t="s">
        <v>281</v>
      </c>
      <c r="B65" s="10" t="s">
        <v>280</v>
      </c>
      <c r="C65" s="10" t="s">
        <v>62</v>
      </c>
      <c r="D65" s="10" t="s">
        <v>274</v>
      </c>
      <c r="E65" s="10" t="s">
        <v>20</v>
      </c>
      <c r="F65" s="10" t="s">
        <v>273</v>
      </c>
      <c r="G65" s="10" t="s">
        <v>19</v>
      </c>
      <c r="H65" s="10"/>
      <c r="I65" s="10"/>
      <c r="J65" s="10" t="s">
        <v>219</v>
      </c>
      <c r="K65" s="10" t="s">
        <v>0</v>
      </c>
      <c r="L65" s="10"/>
      <c r="M65" s="10"/>
      <c r="N65" s="10" t="s">
        <v>292</v>
      </c>
      <c r="O65" s="10" t="s">
        <v>27</v>
      </c>
    </row>
    <row r="66" spans="1:15" x14ac:dyDescent="0.45">
      <c r="A66" s="10" t="s">
        <v>281</v>
      </c>
      <c r="B66" s="10" t="s">
        <v>280</v>
      </c>
      <c r="C66" s="10" t="s">
        <v>62</v>
      </c>
      <c r="D66" s="10" t="s">
        <v>289</v>
      </c>
      <c r="E66" s="10" t="s">
        <v>112</v>
      </c>
      <c r="F66" s="10" t="s">
        <v>288</v>
      </c>
      <c r="G66" s="10" t="s">
        <v>107</v>
      </c>
      <c r="H66" s="10"/>
      <c r="I66" s="10"/>
      <c r="J66" s="10" t="s">
        <v>219</v>
      </c>
      <c r="K66" s="10" t="s">
        <v>0</v>
      </c>
      <c r="L66" s="10"/>
      <c r="M66" s="10"/>
      <c r="N66" s="10" t="s">
        <v>291</v>
      </c>
      <c r="O66" s="10" t="s">
        <v>31</v>
      </c>
    </row>
    <row r="67" spans="1:15" x14ac:dyDescent="0.45">
      <c r="A67" s="10" t="s">
        <v>281</v>
      </c>
      <c r="B67" s="10" t="s">
        <v>280</v>
      </c>
      <c r="C67" s="10" t="s">
        <v>62</v>
      </c>
      <c r="D67" s="10" t="s">
        <v>289</v>
      </c>
      <c r="E67" s="10" t="s">
        <v>112</v>
      </c>
      <c r="F67" s="10" t="s">
        <v>288</v>
      </c>
      <c r="G67" s="10" t="s">
        <v>107</v>
      </c>
      <c r="H67" s="10"/>
      <c r="I67" s="10"/>
      <c r="J67" s="10" t="s">
        <v>219</v>
      </c>
      <c r="K67" s="10" t="s">
        <v>0</v>
      </c>
      <c r="L67" s="10"/>
      <c r="M67" s="10"/>
      <c r="N67" s="10" t="s">
        <v>290</v>
      </c>
      <c r="O67" s="10" t="s">
        <v>86</v>
      </c>
    </row>
    <row r="68" spans="1:15" x14ac:dyDescent="0.45">
      <c r="A68" s="10" t="s">
        <v>281</v>
      </c>
      <c r="B68" s="10" t="s">
        <v>280</v>
      </c>
      <c r="C68" s="10" t="s">
        <v>62</v>
      </c>
      <c r="D68" s="10" t="s">
        <v>289</v>
      </c>
      <c r="E68" s="10" t="s">
        <v>112</v>
      </c>
      <c r="F68" s="10" t="s">
        <v>288</v>
      </c>
      <c r="G68" s="10" t="s">
        <v>107</v>
      </c>
      <c r="H68" s="10"/>
      <c r="I68" s="10"/>
      <c r="J68" s="10" t="s">
        <v>219</v>
      </c>
      <c r="K68" s="10" t="s">
        <v>0</v>
      </c>
      <c r="L68" s="10"/>
      <c r="M68" s="10"/>
      <c r="N68" s="10" t="s">
        <v>287</v>
      </c>
      <c r="O68" s="10" t="s">
        <v>28</v>
      </c>
    </row>
    <row r="69" spans="1:15" x14ac:dyDescent="0.45">
      <c r="A69" s="10" t="s">
        <v>281</v>
      </c>
      <c r="B69" s="10" t="s">
        <v>280</v>
      </c>
      <c r="C69" s="10" t="s">
        <v>62</v>
      </c>
      <c r="D69" s="10" t="s">
        <v>289</v>
      </c>
      <c r="E69" s="10" t="s">
        <v>112</v>
      </c>
      <c r="F69" s="10" t="s">
        <v>288</v>
      </c>
      <c r="G69" s="10" t="s">
        <v>107</v>
      </c>
      <c r="H69" s="10"/>
      <c r="I69" s="10"/>
      <c r="J69" s="10" t="s">
        <v>219</v>
      </c>
      <c r="K69" s="10" t="s">
        <v>0</v>
      </c>
      <c r="L69" s="10"/>
      <c r="M69" s="10"/>
      <c r="N69" s="10" t="s">
        <v>291</v>
      </c>
      <c r="O69" s="10" t="s">
        <v>31</v>
      </c>
    </row>
    <row r="70" spans="1:15" x14ac:dyDescent="0.45">
      <c r="A70" s="10" t="s">
        <v>281</v>
      </c>
      <c r="B70" s="10" t="s">
        <v>280</v>
      </c>
      <c r="C70" s="10" t="s">
        <v>62</v>
      </c>
      <c r="D70" s="10" t="s">
        <v>289</v>
      </c>
      <c r="E70" s="10" t="s">
        <v>112</v>
      </c>
      <c r="F70" s="10" t="s">
        <v>288</v>
      </c>
      <c r="G70" s="10" t="s">
        <v>107</v>
      </c>
      <c r="H70" s="10"/>
      <c r="I70" s="10"/>
      <c r="J70" s="10" t="s">
        <v>219</v>
      </c>
      <c r="K70" s="10" t="s">
        <v>0</v>
      </c>
      <c r="L70" s="10"/>
      <c r="M70" s="10"/>
      <c r="N70" s="10" t="s">
        <v>290</v>
      </c>
      <c r="O70" s="10" t="s">
        <v>86</v>
      </c>
    </row>
    <row r="71" spans="1:15" x14ac:dyDescent="0.45">
      <c r="A71" s="10" t="s">
        <v>281</v>
      </c>
      <c r="B71" s="10" t="s">
        <v>280</v>
      </c>
      <c r="C71" s="10" t="s">
        <v>62</v>
      </c>
      <c r="D71" s="10" t="s">
        <v>289</v>
      </c>
      <c r="E71" s="10" t="s">
        <v>112</v>
      </c>
      <c r="F71" s="10" t="s">
        <v>288</v>
      </c>
      <c r="G71" s="10" t="s">
        <v>107</v>
      </c>
      <c r="H71" s="10"/>
      <c r="I71" s="10"/>
      <c r="J71" s="10" t="s">
        <v>219</v>
      </c>
      <c r="K71" s="10" t="s">
        <v>0</v>
      </c>
      <c r="L71" s="10"/>
      <c r="M71" s="10"/>
      <c r="N71" s="10" t="s">
        <v>287</v>
      </c>
      <c r="O71" s="10" t="s">
        <v>28</v>
      </c>
    </row>
    <row r="72" spans="1:15" x14ac:dyDescent="0.45">
      <c r="A72" s="10" t="s">
        <v>281</v>
      </c>
      <c r="B72" s="10" t="s">
        <v>280</v>
      </c>
      <c r="C72" s="10" t="s">
        <v>62</v>
      </c>
      <c r="D72" s="10" t="s">
        <v>258</v>
      </c>
      <c r="E72" s="10" t="s">
        <v>9</v>
      </c>
      <c r="F72" s="10" t="s">
        <v>257</v>
      </c>
      <c r="G72" s="10" t="s">
        <v>8</v>
      </c>
      <c r="H72" s="10"/>
      <c r="I72" s="10"/>
      <c r="J72" s="10" t="s">
        <v>219</v>
      </c>
      <c r="K72" s="10" t="s">
        <v>0</v>
      </c>
      <c r="L72" s="10"/>
      <c r="M72" s="10"/>
      <c r="N72" s="10" t="s">
        <v>286</v>
      </c>
      <c r="O72" s="10" t="s">
        <v>29</v>
      </c>
    </row>
    <row r="73" spans="1:15" x14ac:dyDescent="0.45">
      <c r="A73" s="10" t="s">
        <v>281</v>
      </c>
      <c r="B73" s="10" t="s">
        <v>280</v>
      </c>
      <c r="C73" s="10" t="s">
        <v>62</v>
      </c>
      <c r="D73" s="10" t="s">
        <v>258</v>
      </c>
      <c r="E73" s="10" t="s">
        <v>9</v>
      </c>
      <c r="F73" s="10" t="s">
        <v>257</v>
      </c>
      <c r="G73" s="10" t="s">
        <v>8</v>
      </c>
      <c r="H73" s="10"/>
      <c r="I73" s="10"/>
      <c r="J73" s="10" t="s">
        <v>219</v>
      </c>
      <c r="K73" s="10" t="s">
        <v>0</v>
      </c>
      <c r="L73" s="10"/>
      <c r="M73" s="10"/>
      <c r="N73" s="10" t="s">
        <v>285</v>
      </c>
      <c r="O73" s="10" t="s">
        <v>30</v>
      </c>
    </row>
    <row r="74" spans="1:15" x14ac:dyDescent="0.45">
      <c r="A74" s="10" t="s">
        <v>281</v>
      </c>
      <c r="B74" s="10" t="s">
        <v>280</v>
      </c>
      <c r="C74" s="10" t="s">
        <v>62</v>
      </c>
      <c r="D74" s="10" t="s">
        <v>258</v>
      </c>
      <c r="E74" s="10" t="s">
        <v>9</v>
      </c>
      <c r="F74" s="10" t="s">
        <v>257</v>
      </c>
      <c r="G74" s="10" t="s">
        <v>8</v>
      </c>
      <c r="H74" s="10"/>
      <c r="I74" s="10"/>
      <c r="J74" s="10" t="s">
        <v>219</v>
      </c>
      <c r="K74" s="10" t="s">
        <v>0</v>
      </c>
      <c r="L74" s="10"/>
      <c r="M74" s="10"/>
      <c r="N74" s="10" t="s">
        <v>286</v>
      </c>
      <c r="O74" s="10" t="s">
        <v>29</v>
      </c>
    </row>
    <row r="75" spans="1:15" x14ac:dyDescent="0.45">
      <c r="A75" s="10" t="s">
        <v>281</v>
      </c>
      <c r="B75" s="10" t="s">
        <v>280</v>
      </c>
      <c r="C75" s="10" t="s">
        <v>62</v>
      </c>
      <c r="D75" s="10" t="s">
        <v>258</v>
      </c>
      <c r="E75" s="10" t="s">
        <v>9</v>
      </c>
      <c r="F75" s="10" t="s">
        <v>257</v>
      </c>
      <c r="G75" s="10" t="s">
        <v>8</v>
      </c>
      <c r="H75" s="10"/>
      <c r="I75" s="10"/>
      <c r="J75" s="10" t="s">
        <v>219</v>
      </c>
      <c r="K75" s="10" t="s">
        <v>0</v>
      </c>
      <c r="L75" s="10"/>
      <c r="M75" s="10"/>
      <c r="N75" s="10" t="s">
        <v>285</v>
      </c>
      <c r="O75" s="10" t="s">
        <v>30</v>
      </c>
    </row>
    <row r="76" spans="1:15" x14ac:dyDescent="0.45">
      <c r="A76" s="10" t="s">
        <v>281</v>
      </c>
      <c r="B76" s="10" t="s">
        <v>280</v>
      </c>
      <c r="C76" s="10" t="s">
        <v>62</v>
      </c>
      <c r="D76" s="10" t="s">
        <v>279</v>
      </c>
      <c r="E76" s="10" t="s">
        <v>109</v>
      </c>
      <c r="F76" s="10" t="s">
        <v>278</v>
      </c>
      <c r="G76" s="10" t="s">
        <v>105</v>
      </c>
      <c r="H76" s="10"/>
      <c r="I76" s="10"/>
      <c r="J76" s="10" t="s">
        <v>231</v>
      </c>
      <c r="K76" s="10" t="s">
        <v>40</v>
      </c>
      <c r="L76" s="10"/>
      <c r="M76" s="10"/>
      <c r="N76" s="10" t="s">
        <v>284</v>
      </c>
      <c r="O76" s="10" t="s">
        <v>5</v>
      </c>
    </row>
    <row r="77" spans="1:15" x14ac:dyDescent="0.45">
      <c r="A77" s="10" t="s">
        <v>281</v>
      </c>
      <c r="B77" s="10" t="s">
        <v>280</v>
      </c>
      <c r="C77" s="10" t="s">
        <v>62</v>
      </c>
      <c r="D77" s="10" t="s">
        <v>279</v>
      </c>
      <c r="E77" s="10" t="s">
        <v>109</v>
      </c>
      <c r="F77" s="10" t="s">
        <v>278</v>
      </c>
      <c r="G77" s="10" t="s">
        <v>105</v>
      </c>
      <c r="H77" s="10"/>
      <c r="I77" s="10"/>
      <c r="J77" s="10" t="s">
        <v>231</v>
      </c>
      <c r="K77" s="10" t="s">
        <v>40</v>
      </c>
      <c r="L77" s="10"/>
      <c r="M77" s="10"/>
      <c r="N77" s="10" t="s">
        <v>283</v>
      </c>
      <c r="O77" s="10" t="s">
        <v>34</v>
      </c>
    </row>
    <row r="78" spans="1:15" x14ac:dyDescent="0.45">
      <c r="A78" s="10" t="s">
        <v>281</v>
      </c>
      <c r="B78" s="10" t="s">
        <v>280</v>
      </c>
      <c r="C78" s="10" t="s">
        <v>62</v>
      </c>
      <c r="D78" s="10" t="s">
        <v>279</v>
      </c>
      <c r="E78" s="10" t="s">
        <v>109</v>
      </c>
      <c r="F78" s="10" t="s">
        <v>278</v>
      </c>
      <c r="G78" s="10" t="s">
        <v>105</v>
      </c>
      <c r="H78" s="10"/>
      <c r="I78" s="10"/>
      <c r="J78" s="10" t="s">
        <v>231</v>
      </c>
      <c r="K78" s="10" t="s">
        <v>40</v>
      </c>
      <c r="L78" s="10"/>
      <c r="M78" s="10"/>
      <c r="N78" s="10" t="s">
        <v>282</v>
      </c>
      <c r="O78" s="10" t="s">
        <v>32</v>
      </c>
    </row>
    <row r="79" spans="1:15" x14ac:dyDescent="0.45">
      <c r="A79" s="10" t="s">
        <v>281</v>
      </c>
      <c r="B79" s="10" t="s">
        <v>280</v>
      </c>
      <c r="C79" s="10" t="s">
        <v>62</v>
      </c>
      <c r="D79" s="10" t="s">
        <v>279</v>
      </c>
      <c r="E79" s="10" t="s">
        <v>109</v>
      </c>
      <c r="F79" s="10" t="s">
        <v>278</v>
      </c>
      <c r="G79" s="10" t="s">
        <v>105</v>
      </c>
      <c r="H79" s="10"/>
      <c r="I79" s="10"/>
      <c r="J79" s="10" t="s">
        <v>231</v>
      </c>
      <c r="K79" s="10" t="s">
        <v>40</v>
      </c>
      <c r="L79" s="10"/>
      <c r="M79" s="10"/>
      <c r="N79" s="10" t="s">
        <v>277</v>
      </c>
      <c r="O79" s="10" t="s">
        <v>33</v>
      </c>
    </row>
    <row r="80" spans="1:15" x14ac:dyDescent="0.45">
      <c r="A80" s="10" t="s">
        <v>281</v>
      </c>
      <c r="B80" s="10" t="s">
        <v>280</v>
      </c>
      <c r="C80" s="10" t="s">
        <v>62</v>
      </c>
      <c r="D80" s="10" t="s">
        <v>279</v>
      </c>
      <c r="E80" s="10" t="s">
        <v>109</v>
      </c>
      <c r="F80" s="10" t="s">
        <v>278</v>
      </c>
      <c r="G80" s="10" t="s">
        <v>105</v>
      </c>
      <c r="H80" s="10"/>
      <c r="I80" s="10"/>
      <c r="J80" s="10" t="s">
        <v>231</v>
      </c>
      <c r="K80" s="10" t="s">
        <v>40</v>
      </c>
      <c r="L80" s="10"/>
      <c r="M80" s="10"/>
      <c r="N80" s="10" t="s">
        <v>284</v>
      </c>
      <c r="O80" s="10" t="s">
        <v>5</v>
      </c>
    </row>
    <row r="81" spans="1:25" x14ac:dyDescent="0.45">
      <c r="A81" s="10" t="s">
        <v>281</v>
      </c>
      <c r="B81" s="10" t="s">
        <v>280</v>
      </c>
      <c r="C81" s="10" t="s">
        <v>62</v>
      </c>
      <c r="D81" s="10" t="s">
        <v>279</v>
      </c>
      <c r="E81" s="10" t="s">
        <v>109</v>
      </c>
      <c r="F81" s="10" t="s">
        <v>278</v>
      </c>
      <c r="G81" s="10" t="s">
        <v>105</v>
      </c>
      <c r="H81" s="10"/>
      <c r="I81" s="10"/>
      <c r="J81" s="10" t="s">
        <v>231</v>
      </c>
      <c r="K81" s="10" t="s">
        <v>40</v>
      </c>
      <c r="L81" s="10"/>
      <c r="M81" s="10"/>
      <c r="N81" s="10" t="s">
        <v>283</v>
      </c>
      <c r="O81" s="10" t="s">
        <v>34</v>
      </c>
    </row>
    <row r="82" spans="1:25" x14ac:dyDescent="0.45">
      <c r="A82" s="10" t="s">
        <v>281</v>
      </c>
      <c r="B82" s="10" t="s">
        <v>280</v>
      </c>
      <c r="C82" s="10" t="s">
        <v>62</v>
      </c>
      <c r="D82" s="10" t="s">
        <v>279</v>
      </c>
      <c r="E82" s="10" t="s">
        <v>109</v>
      </c>
      <c r="F82" s="10" t="s">
        <v>278</v>
      </c>
      <c r="G82" s="10" t="s">
        <v>105</v>
      </c>
      <c r="H82" s="10"/>
      <c r="I82" s="10"/>
      <c r="J82" s="10" t="s">
        <v>231</v>
      </c>
      <c r="K82" s="10" t="s">
        <v>40</v>
      </c>
      <c r="L82" s="10"/>
      <c r="M82" s="10"/>
      <c r="N82" s="10" t="s">
        <v>282</v>
      </c>
      <c r="O82" s="10" t="s">
        <v>32</v>
      </c>
    </row>
    <row r="83" spans="1:25" x14ac:dyDescent="0.45">
      <c r="A83" s="10" t="s">
        <v>281</v>
      </c>
      <c r="B83" s="10" t="s">
        <v>280</v>
      </c>
      <c r="C83" s="10" t="s">
        <v>62</v>
      </c>
      <c r="D83" s="10" t="s">
        <v>279</v>
      </c>
      <c r="E83" s="10" t="s">
        <v>109</v>
      </c>
      <c r="F83" s="10" t="s">
        <v>278</v>
      </c>
      <c r="G83" s="10" t="s">
        <v>105</v>
      </c>
      <c r="H83" s="10"/>
      <c r="I83" s="10"/>
      <c r="J83" s="10" t="s">
        <v>231</v>
      </c>
      <c r="K83" s="10" t="s">
        <v>40</v>
      </c>
      <c r="L83" s="10"/>
      <c r="M83" s="10"/>
      <c r="N83" s="10" t="s">
        <v>277</v>
      </c>
      <c r="O83" s="10" t="s">
        <v>33</v>
      </c>
    </row>
    <row r="84" spans="1:25" x14ac:dyDescent="0.45">
      <c r="A84" s="11" t="s">
        <v>216</v>
      </c>
      <c r="B84" s="11" t="s">
        <v>145</v>
      </c>
    </row>
    <row r="85" spans="1:25" x14ac:dyDescent="0.45">
      <c r="A85" s="10" t="s">
        <v>276</v>
      </c>
      <c r="B85" s="10" t="s">
        <v>275</v>
      </c>
      <c r="C85" s="10" t="s">
        <v>45</v>
      </c>
      <c r="D85" s="10" t="s">
        <v>274</v>
      </c>
      <c r="E85" s="10" t="s">
        <v>20</v>
      </c>
      <c r="F85" s="10" t="s">
        <v>273</v>
      </c>
      <c r="G85" s="10" t="s">
        <v>19</v>
      </c>
      <c r="H85" s="10"/>
      <c r="I85" s="10"/>
      <c r="J85" s="10" t="s">
        <v>223</v>
      </c>
      <c r="K85" s="10" t="s">
        <v>7</v>
      </c>
      <c r="L85" s="10"/>
      <c r="M85" s="10" t="s">
        <v>272</v>
      </c>
      <c r="N85" s="10" t="s">
        <v>271</v>
      </c>
      <c r="O85" s="10" t="s">
        <v>67</v>
      </c>
      <c r="P85" s="10" t="s">
        <v>270</v>
      </c>
      <c r="Q85" s="10" t="s">
        <v>69</v>
      </c>
      <c r="R85" s="10" t="s">
        <v>269</v>
      </c>
      <c r="S85" s="10" t="s">
        <v>80</v>
      </c>
      <c r="T85" s="10" t="s">
        <v>268</v>
      </c>
      <c r="U85" s="10" t="s">
        <v>21</v>
      </c>
      <c r="V85" s="10" t="s">
        <v>267</v>
      </c>
      <c r="W85" s="10" t="s">
        <v>68</v>
      </c>
      <c r="X85" s="10" t="s">
        <v>266</v>
      </c>
      <c r="Y85" s="10" t="s">
        <v>39</v>
      </c>
    </row>
    <row r="86" spans="1:25" x14ac:dyDescent="0.45">
      <c r="A86" s="11" t="s">
        <v>265</v>
      </c>
      <c r="B86" s="11" t="s">
        <v>146</v>
      </c>
    </row>
    <row r="87" spans="1:25" x14ac:dyDescent="0.45">
      <c r="A87" s="10" t="s">
        <v>217</v>
      </c>
      <c r="B87" s="10" t="s">
        <v>216</v>
      </c>
      <c r="C87" s="10" t="s">
        <v>51</v>
      </c>
      <c r="D87" s="10" t="s">
        <v>215</v>
      </c>
      <c r="E87" s="10" t="s">
        <v>1</v>
      </c>
      <c r="F87" s="10" t="s">
        <v>264</v>
      </c>
      <c r="G87" s="10" t="s">
        <v>102</v>
      </c>
      <c r="H87" s="10"/>
      <c r="I87" s="10"/>
      <c r="J87" s="10" t="s">
        <v>213</v>
      </c>
      <c r="K87" s="10" t="s">
        <v>2</v>
      </c>
      <c r="L87" s="10"/>
      <c r="M87" s="10"/>
      <c r="N87" s="10" t="s">
        <v>263</v>
      </c>
      <c r="O87" s="10" t="s">
        <v>77</v>
      </c>
    </row>
    <row r="88" spans="1:25" x14ac:dyDescent="0.45">
      <c r="A88" s="10" t="s">
        <v>260</v>
      </c>
      <c r="B88" s="10" t="s">
        <v>259</v>
      </c>
      <c r="C88" s="10" t="s">
        <v>47</v>
      </c>
      <c r="D88" s="10" t="s">
        <v>258</v>
      </c>
      <c r="E88" s="10" t="s">
        <v>9</v>
      </c>
      <c r="F88" s="10" t="s">
        <v>257</v>
      </c>
      <c r="G88" s="10" t="s">
        <v>8</v>
      </c>
      <c r="H88" s="10"/>
      <c r="I88" s="10"/>
      <c r="J88" s="10" t="s">
        <v>223</v>
      </c>
      <c r="K88" s="10" t="s">
        <v>7</v>
      </c>
      <c r="L88" s="10"/>
      <c r="M88" s="10"/>
      <c r="N88" s="10" t="s">
        <v>262</v>
      </c>
      <c r="O88" s="10" t="s">
        <v>4</v>
      </c>
    </row>
    <row r="89" spans="1:25" x14ac:dyDescent="0.45">
      <c r="A89" s="10" t="s">
        <v>217</v>
      </c>
      <c r="B89" s="10" t="s">
        <v>216</v>
      </c>
      <c r="C89" s="10" t="s">
        <v>51</v>
      </c>
      <c r="D89" s="10" t="s">
        <v>258</v>
      </c>
      <c r="E89" s="10" t="s">
        <v>9</v>
      </c>
      <c r="F89" s="10" t="s">
        <v>257</v>
      </c>
      <c r="G89" s="10" t="s">
        <v>8</v>
      </c>
      <c r="H89" s="10"/>
      <c r="I89" s="10"/>
      <c r="J89" s="10" t="s">
        <v>219</v>
      </c>
      <c r="K89" s="10" t="s">
        <v>0</v>
      </c>
      <c r="L89" s="10"/>
      <c r="M89" s="10"/>
      <c r="N89" s="10" t="s">
        <v>261</v>
      </c>
      <c r="O89" s="10" t="s">
        <v>16</v>
      </c>
    </row>
    <row r="90" spans="1:25" x14ac:dyDescent="0.45">
      <c r="A90" s="10" t="s">
        <v>260</v>
      </c>
      <c r="B90" s="10" t="s">
        <v>259</v>
      </c>
      <c r="C90" s="10" t="s">
        <v>47</v>
      </c>
      <c r="D90" s="10" t="s">
        <v>258</v>
      </c>
      <c r="E90" s="10" t="s">
        <v>9</v>
      </c>
      <c r="F90" s="10" t="s">
        <v>257</v>
      </c>
      <c r="G90" s="10" t="s">
        <v>8</v>
      </c>
      <c r="H90" s="10"/>
      <c r="I90" s="10"/>
      <c r="J90" s="10" t="s">
        <v>223</v>
      </c>
      <c r="K90" s="10" t="s">
        <v>7</v>
      </c>
      <c r="L90" s="10"/>
      <c r="M90" s="10"/>
      <c r="N90" s="10" t="s">
        <v>256</v>
      </c>
      <c r="O90" s="10" t="s">
        <v>12</v>
      </c>
    </row>
    <row r="91" spans="1:25" x14ac:dyDescent="0.45">
      <c r="A91" s="10" t="s">
        <v>217</v>
      </c>
      <c r="B91" s="10" t="s">
        <v>216</v>
      </c>
      <c r="C91" s="10" t="s">
        <v>51</v>
      </c>
      <c r="D91" s="10" t="s">
        <v>255</v>
      </c>
      <c r="E91" s="10" t="s">
        <v>6</v>
      </c>
      <c r="F91" s="10" t="s">
        <v>254</v>
      </c>
      <c r="G91" s="10" t="s">
        <v>100</v>
      </c>
      <c r="H91" s="10"/>
      <c r="I91" s="10"/>
      <c r="J91" s="10" t="s">
        <v>219</v>
      </c>
      <c r="K91" s="10" t="s">
        <v>0</v>
      </c>
      <c r="L91" s="10"/>
      <c r="M91" s="10"/>
      <c r="N91" s="10" t="s">
        <v>253</v>
      </c>
      <c r="O91" s="10" t="s">
        <v>75</v>
      </c>
    </row>
    <row r="92" spans="1:25" x14ac:dyDescent="0.45">
      <c r="A92" s="10" t="s">
        <v>228</v>
      </c>
      <c r="B92" s="10" t="s">
        <v>227</v>
      </c>
      <c r="C92" s="10" t="s">
        <v>48</v>
      </c>
      <c r="D92" s="10" t="s">
        <v>238</v>
      </c>
      <c r="E92" s="10" t="s">
        <v>66</v>
      </c>
      <c r="F92" s="10" t="s">
        <v>251</v>
      </c>
      <c r="G92" s="10" t="s">
        <v>65</v>
      </c>
      <c r="H92" s="10"/>
      <c r="I92" s="10"/>
      <c r="J92" s="10" t="s">
        <v>219</v>
      </c>
      <c r="K92" s="10" t="s">
        <v>0</v>
      </c>
      <c r="L92" s="10"/>
      <c r="M92" s="10"/>
      <c r="N92" s="10" t="s">
        <v>252</v>
      </c>
      <c r="O92" s="10" t="s">
        <v>72</v>
      </c>
    </row>
    <row r="93" spans="1:25" x14ac:dyDescent="0.45">
      <c r="A93" s="10" t="s">
        <v>217</v>
      </c>
      <c r="B93" s="10" t="s">
        <v>216</v>
      </c>
      <c r="C93" s="10" t="s">
        <v>51</v>
      </c>
      <c r="D93" s="10" t="s">
        <v>238</v>
      </c>
      <c r="E93" s="10" t="s">
        <v>66</v>
      </c>
      <c r="F93" s="10" t="s">
        <v>251</v>
      </c>
      <c r="G93" s="10" t="s">
        <v>65</v>
      </c>
      <c r="H93" s="10"/>
      <c r="I93" s="10"/>
      <c r="J93" s="10" t="s">
        <v>219</v>
      </c>
      <c r="K93" s="10" t="s">
        <v>0</v>
      </c>
      <c r="L93" s="10"/>
      <c r="M93" s="10"/>
      <c r="N93" s="10" t="s">
        <v>250</v>
      </c>
      <c r="O93" s="10" t="s">
        <v>76</v>
      </c>
    </row>
    <row r="94" spans="1:25" x14ac:dyDescent="0.45">
      <c r="A94" s="10" t="s">
        <v>248</v>
      </c>
      <c r="B94" s="10" t="s">
        <v>247</v>
      </c>
      <c r="C94" s="10" t="s">
        <v>52</v>
      </c>
      <c r="D94" s="10" t="s">
        <v>233</v>
      </c>
      <c r="E94" s="10" t="s">
        <v>44</v>
      </c>
      <c r="F94" s="10" t="s">
        <v>246</v>
      </c>
      <c r="G94" s="10" t="s">
        <v>42</v>
      </c>
      <c r="H94" s="10"/>
      <c r="I94" s="10"/>
      <c r="J94" s="10" t="s">
        <v>231</v>
      </c>
      <c r="K94" s="10" t="s">
        <v>40</v>
      </c>
      <c r="L94" s="10"/>
      <c r="M94" s="10"/>
      <c r="N94" s="10" t="s">
        <v>249</v>
      </c>
      <c r="O94" s="10" t="s">
        <v>79</v>
      </c>
    </row>
    <row r="95" spans="1:25" x14ac:dyDescent="0.45">
      <c r="A95" s="10" t="s">
        <v>248</v>
      </c>
      <c r="B95" s="10" t="s">
        <v>247</v>
      </c>
      <c r="C95" s="10" t="s">
        <v>52</v>
      </c>
      <c r="D95" s="10" t="s">
        <v>233</v>
      </c>
      <c r="E95" s="10" t="s">
        <v>44</v>
      </c>
      <c r="F95" s="10" t="s">
        <v>246</v>
      </c>
      <c r="G95" s="10" t="s">
        <v>42</v>
      </c>
      <c r="H95" s="10"/>
      <c r="I95" s="10"/>
      <c r="J95" s="10" t="s">
        <v>231</v>
      </c>
      <c r="K95" s="10" t="s">
        <v>40</v>
      </c>
      <c r="L95" s="10"/>
      <c r="M95" s="10"/>
      <c r="N95" s="10" t="s">
        <v>245</v>
      </c>
      <c r="O95" s="10" t="s">
        <v>23</v>
      </c>
    </row>
    <row r="96" spans="1:25" x14ac:dyDescent="0.45">
      <c r="A96" s="10" t="s">
        <v>228</v>
      </c>
      <c r="B96" s="10" t="s">
        <v>227</v>
      </c>
      <c r="C96" s="10" t="s">
        <v>48</v>
      </c>
      <c r="D96" s="10" t="s">
        <v>215</v>
      </c>
      <c r="E96" s="10" t="s">
        <v>1</v>
      </c>
      <c r="F96" s="10" t="s">
        <v>243</v>
      </c>
      <c r="G96" s="10" t="s">
        <v>131</v>
      </c>
      <c r="H96" s="10"/>
      <c r="I96" s="10"/>
      <c r="J96" s="10" t="s">
        <v>213</v>
      </c>
      <c r="K96" s="10" t="s">
        <v>2</v>
      </c>
      <c r="L96" s="10"/>
      <c r="M96" s="10"/>
      <c r="N96" s="10" t="s">
        <v>244</v>
      </c>
      <c r="O96" s="10" t="s">
        <v>126</v>
      </c>
    </row>
    <row r="97" spans="1:15" x14ac:dyDescent="0.45">
      <c r="A97" s="10" t="s">
        <v>217</v>
      </c>
      <c r="B97" s="10" t="s">
        <v>216</v>
      </c>
      <c r="C97" s="10" t="s">
        <v>51</v>
      </c>
      <c r="D97" s="10" t="s">
        <v>215</v>
      </c>
      <c r="E97" s="10" t="s">
        <v>1</v>
      </c>
      <c r="F97" s="10" t="s">
        <v>243</v>
      </c>
      <c r="G97" s="10" t="s">
        <v>131</v>
      </c>
      <c r="H97" s="10"/>
      <c r="I97" s="10"/>
      <c r="J97" s="10" t="s">
        <v>213</v>
      </c>
      <c r="K97" s="10" t="s">
        <v>2</v>
      </c>
      <c r="L97" s="10"/>
      <c r="M97" s="10"/>
      <c r="N97" s="10" t="s">
        <v>242</v>
      </c>
      <c r="O97" s="10" t="s">
        <v>128</v>
      </c>
    </row>
    <row r="98" spans="1:15" x14ac:dyDescent="0.45">
      <c r="A98" s="10" t="s">
        <v>228</v>
      </c>
      <c r="B98" s="10" t="s">
        <v>227</v>
      </c>
      <c r="C98" s="10" t="s">
        <v>48</v>
      </c>
      <c r="D98" s="10" t="s">
        <v>238</v>
      </c>
      <c r="E98" s="10" t="s">
        <v>66</v>
      </c>
      <c r="F98" s="10" t="s">
        <v>237</v>
      </c>
      <c r="G98" s="10" t="s">
        <v>161</v>
      </c>
      <c r="H98" s="10"/>
      <c r="I98" s="10"/>
      <c r="J98" s="10" t="s">
        <v>219</v>
      </c>
      <c r="K98" s="10" t="s">
        <v>0</v>
      </c>
      <c r="L98" s="10"/>
      <c r="M98" s="10"/>
      <c r="N98" s="10" t="s">
        <v>241</v>
      </c>
      <c r="O98" s="10" t="s">
        <v>73</v>
      </c>
    </row>
    <row r="99" spans="1:15" x14ac:dyDescent="0.45">
      <c r="A99" s="10" t="s">
        <v>240</v>
      </c>
      <c r="B99" s="10" t="s">
        <v>239</v>
      </c>
      <c r="C99" s="10" t="s">
        <v>53</v>
      </c>
      <c r="D99" s="10" t="s">
        <v>238</v>
      </c>
      <c r="E99" s="10" t="s">
        <v>66</v>
      </c>
      <c r="F99" s="10" t="s">
        <v>237</v>
      </c>
      <c r="G99" s="10" t="s">
        <v>161</v>
      </c>
      <c r="H99" s="10"/>
      <c r="I99" s="10"/>
      <c r="J99" s="10" t="s">
        <v>219</v>
      </c>
      <c r="K99" s="10" t="s">
        <v>0</v>
      </c>
      <c r="L99" s="10"/>
      <c r="M99" s="10"/>
      <c r="N99" s="10" t="s">
        <v>236</v>
      </c>
      <c r="O99" s="10" t="s">
        <v>36</v>
      </c>
    </row>
    <row r="100" spans="1:15" x14ac:dyDescent="0.45">
      <c r="A100" s="10" t="s">
        <v>235</v>
      </c>
      <c r="B100" s="10" t="s">
        <v>234</v>
      </c>
      <c r="C100" s="10" t="s">
        <v>49</v>
      </c>
      <c r="D100" s="10" t="s">
        <v>233</v>
      </c>
      <c r="E100" s="10" t="s">
        <v>44</v>
      </c>
      <c r="F100" s="10" t="s">
        <v>232</v>
      </c>
      <c r="G100" s="10" t="s">
        <v>211</v>
      </c>
      <c r="H100" s="10"/>
      <c r="I100" s="10"/>
      <c r="J100" s="10" t="s">
        <v>231</v>
      </c>
      <c r="K100" s="10" t="s">
        <v>40</v>
      </c>
      <c r="L100" s="10"/>
      <c r="M100" s="10"/>
      <c r="N100" s="10" t="s">
        <v>230</v>
      </c>
      <c r="O100" s="10" t="s">
        <v>24</v>
      </c>
    </row>
    <row r="101" spans="1:15" x14ac:dyDescent="0.45">
      <c r="A101" s="10" t="s">
        <v>228</v>
      </c>
      <c r="B101" s="10" t="s">
        <v>227</v>
      </c>
      <c r="C101" s="10" t="s">
        <v>48</v>
      </c>
      <c r="D101" s="10" t="s">
        <v>226</v>
      </c>
      <c r="E101" s="10" t="s">
        <v>13</v>
      </c>
      <c r="F101" s="10" t="s">
        <v>225</v>
      </c>
      <c r="G101" s="10" t="s">
        <v>14</v>
      </c>
      <c r="H101" s="10"/>
      <c r="I101" s="10"/>
      <c r="J101" s="10" t="s">
        <v>219</v>
      </c>
      <c r="K101" s="10" t="s">
        <v>0</v>
      </c>
      <c r="L101" s="10"/>
      <c r="M101" s="10"/>
      <c r="N101" s="10" t="s">
        <v>229</v>
      </c>
      <c r="O101" s="10" t="s">
        <v>70</v>
      </c>
    </row>
    <row r="102" spans="1:15" x14ac:dyDescent="0.45">
      <c r="A102" s="10" t="s">
        <v>228</v>
      </c>
      <c r="B102" s="10" t="s">
        <v>227</v>
      </c>
      <c r="C102" s="10" t="s">
        <v>48</v>
      </c>
      <c r="D102" s="10" t="s">
        <v>226</v>
      </c>
      <c r="E102" s="10" t="s">
        <v>13</v>
      </c>
      <c r="F102" s="10" t="s">
        <v>225</v>
      </c>
      <c r="G102" s="10" t="s">
        <v>14</v>
      </c>
      <c r="H102" s="10"/>
      <c r="I102" s="10"/>
      <c r="J102" s="10" t="s">
        <v>219</v>
      </c>
      <c r="K102" s="10" t="s">
        <v>0</v>
      </c>
      <c r="L102" s="10"/>
      <c r="M102" s="10"/>
      <c r="N102" s="10" t="s">
        <v>224</v>
      </c>
      <c r="O102" s="10" t="s">
        <v>71</v>
      </c>
    </row>
    <row r="103" spans="1:15" x14ac:dyDescent="0.45">
      <c r="A103" s="10" t="s">
        <v>217</v>
      </c>
      <c r="B103" s="10" t="s">
        <v>216</v>
      </c>
      <c r="C103" s="10" t="s">
        <v>51</v>
      </c>
      <c r="D103" s="10" t="s">
        <v>221</v>
      </c>
      <c r="E103" s="10" t="s">
        <v>43</v>
      </c>
      <c r="F103" s="10" t="s">
        <v>220</v>
      </c>
      <c r="G103" s="10" t="s">
        <v>41</v>
      </c>
      <c r="H103" s="10"/>
      <c r="I103" s="10"/>
      <c r="J103" s="10" t="s">
        <v>223</v>
      </c>
      <c r="K103" s="10" t="s">
        <v>7</v>
      </c>
      <c r="L103" s="10"/>
      <c r="M103" s="10"/>
      <c r="N103" s="10" t="s">
        <v>222</v>
      </c>
      <c r="O103" s="10" t="s">
        <v>11</v>
      </c>
    </row>
    <row r="104" spans="1:15" x14ac:dyDescent="0.45">
      <c r="A104" s="10" t="s">
        <v>217</v>
      </c>
      <c r="B104" s="10" t="s">
        <v>216</v>
      </c>
      <c r="C104" s="10" t="s">
        <v>51</v>
      </c>
      <c r="D104" s="10" t="s">
        <v>221</v>
      </c>
      <c r="E104" s="10" t="s">
        <v>43</v>
      </c>
      <c r="F104" s="10" t="s">
        <v>220</v>
      </c>
      <c r="G104" s="10" t="s">
        <v>41</v>
      </c>
      <c r="H104" s="10"/>
      <c r="I104" s="10"/>
      <c r="J104" s="10" t="s">
        <v>219</v>
      </c>
      <c r="K104" s="10" t="s">
        <v>0</v>
      </c>
      <c r="L104" s="10"/>
      <c r="M104" s="10"/>
      <c r="N104" s="10" t="s">
        <v>218</v>
      </c>
      <c r="O104" s="10" t="s">
        <v>74</v>
      </c>
    </row>
    <row r="105" spans="1:15" x14ac:dyDescent="0.45">
      <c r="A105" s="10" t="s">
        <v>217</v>
      </c>
      <c r="B105" s="10" t="s">
        <v>216</v>
      </c>
      <c r="C105" s="10" t="s">
        <v>51</v>
      </c>
      <c r="D105" s="10" t="s">
        <v>215</v>
      </c>
      <c r="E105" s="10" t="s">
        <v>1</v>
      </c>
      <c r="F105" s="10" t="s">
        <v>214</v>
      </c>
      <c r="G105" s="10" t="s">
        <v>103</v>
      </c>
      <c r="H105" s="10"/>
      <c r="I105" s="10"/>
      <c r="J105" s="10" t="s">
        <v>213</v>
      </c>
      <c r="K105" s="10" t="s">
        <v>2</v>
      </c>
      <c r="L105" s="10"/>
      <c r="M105" s="10"/>
      <c r="N105" s="10" t="s">
        <v>212</v>
      </c>
      <c r="O105" s="10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F2E5-6899-46F5-9321-2C1C9A178868}">
  <dimension ref="A1:G30"/>
  <sheetViews>
    <sheetView workbookViewId="0">
      <selection activeCell="B21" sqref="B21:C21"/>
    </sheetView>
  </sheetViews>
  <sheetFormatPr defaultRowHeight="14.25" x14ac:dyDescent="0.45"/>
  <cols>
    <col min="1" max="1" width="18.33203125" style="2" customWidth="1"/>
    <col min="2" max="2" width="2.73046875" bestFit="1" customWidth="1"/>
    <col min="3" max="3" width="52.59765625" bestFit="1" customWidth="1"/>
    <col min="4" max="4" width="6.73046875" bestFit="1" customWidth="1"/>
    <col min="6" max="6" width="26.06640625" customWidth="1"/>
  </cols>
  <sheetData>
    <row r="1" spans="1:7" x14ac:dyDescent="0.45">
      <c r="A1" s="2">
        <v>45935.416666666664</v>
      </c>
      <c r="B1" s="3">
        <v>43</v>
      </c>
      <c r="C1" s="3" t="s">
        <v>143</v>
      </c>
      <c r="D1">
        <v>700</v>
      </c>
      <c r="E1">
        <v>999</v>
      </c>
      <c r="F1" s="5" t="s">
        <v>159</v>
      </c>
      <c r="G1">
        <v>1</v>
      </c>
    </row>
    <row r="2" spans="1:7" x14ac:dyDescent="0.45">
      <c r="B2" s="3">
        <v>43</v>
      </c>
      <c r="C2" s="3" t="s">
        <v>143</v>
      </c>
      <c r="D2">
        <v>700</v>
      </c>
      <c r="E2">
        <v>999</v>
      </c>
      <c r="F2" s="5" t="s">
        <v>159</v>
      </c>
      <c r="G2">
        <v>2</v>
      </c>
    </row>
    <row r="3" spans="1:7" x14ac:dyDescent="0.45">
      <c r="B3" s="3">
        <v>43</v>
      </c>
      <c r="C3" s="3" t="s">
        <v>143</v>
      </c>
      <c r="D3">
        <v>769951</v>
      </c>
      <c r="E3">
        <v>15</v>
      </c>
      <c r="F3" t="s">
        <v>59</v>
      </c>
      <c r="G3">
        <v>1</v>
      </c>
    </row>
    <row r="4" spans="1:7" x14ac:dyDescent="0.45">
      <c r="B4" s="3">
        <v>43</v>
      </c>
      <c r="C4" s="3" t="s">
        <v>143</v>
      </c>
      <c r="D4">
        <v>769951</v>
      </c>
      <c r="E4">
        <v>15</v>
      </c>
      <c r="F4" t="s">
        <v>59</v>
      </c>
      <c r="G4">
        <v>2</v>
      </c>
    </row>
    <row r="5" spans="1:7" x14ac:dyDescent="0.45">
      <c r="B5" s="3">
        <v>43</v>
      </c>
      <c r="C5" s="3" t="s">
        <v>143</v>
      </c>
      <c r="D5">
        <v>769952</v>
      </c>
      <c r="E5">
        <v>16</v>
      </c>
      <c r="F5" t="s">
        <v>60</v>
      </c>
      <c r="G5">
        <v>1</v>
      </c>
    </row>
    <row r="6" spans="1:7" x14ac:dyDescent="0.45">
      <c r="B6" s="3">
        <v>43</v>
      </c>
      <c r="C6" s="3" t="s">
        <v>143</v>
      </c>
      <c r="D6">
        <v>769952</v>
      </c>
      <c r="E6">
        <v>16</v>
      </c>
      <c r="F6" t="s">
        <v>60</v>
      </c>
      <c r="G6">
        <v>2</v>
      </c>
    </row>
    <row r="7" spans="1:7" x14ac:dyDescent="0.45">
      <c r="B7" s="3">
        <v>52</v>
      </c>
      <c r="C7" s="3" t="s">
        <v>147</v>
      </c>
      <c r="D7">
        <v>769949</v>
      </c>
      <c r="E7">
        <v>13</v>
      </c>
      <c r="F7" t="s">
        <v>57</v>
      </c>
      <c r="G7">
        <v>1</v>
      </c>
    </row>
    <row r="8" spans="1:7" x14ac:dyDescent="0.45">
      <c r="B8" s="3">
        <v>52</v>
      </c>
      <c r="C8" s="3" t="s">
        <v>147</v>
      </c>
      <c r="D8">
        <v>769949</v>
      </c>
      <c r="E8">
        <v>13</v>
      </c>
      <c r="F8" t="s">
        <v>57</v>
      </c>
      <c r="G8">
        <v>2</v>
      </c>
    </row>
    <row r="9" spans="1:7" x14ac:dyDescent="0.45">
      <c r="B9" s="3">
        <v>18</v>
      </c>
      <c r="C9" s="3" t="s">
        <v>141</v>
      </c>
      <c r="D9">
        <v>769936</v>
      </c>
      <c r="E9">
        <v>1</v>
      </c>
      <c r="F9" t="s">
        <v>45</v>
      </c>
      <c r="G9">
        <v>1</v>
      </c>
    </row>
    <row r="10" spans="1:7" x14ac:dyDescent="0.45">
      <c r="B10" s="3">
        <v>1</v>
      </c>
      <c r="C10" s="4" t="s">
        <v>142</v>
      </c>
      <c r="D10">
        <v>769939</v>
      </c>
      <c r="E10">
        <v>3</v>
      </c>
      <c r="F10" t="s">
        <v>47</v>
      </c>
      <c r="G10">
        <v>1</v>
      </c>
    </row>
    <row r="11" spans="1:7" x14ac:dyDescent="0.45">
      <c r="B11" s="3">
        <v>1</v>
      </c>
      <c r="C11" s="4" t="s">
        <v>142</v>
      </c>
      <c r="D11">
        <v>769939</v>
      </c>
      <c r="E11">
        <v>3</v>
      </c>
      <c r="F11" t="s">
        <v>47</v>
      </c>
      <c r="G11">
        <v>2</v>
      </c>
    </row>
    <row r="12" spans="1:7" x14ac:dyDescent="0.45">
      <c r="B12" s="3">
        <v>1</v>
      </c>
      <c r="C12" s="4" t="s">
        <v>142</v>
      </c>
      <c r="D12">
        <v>769940</v>
      </c>
      <c r="E12">
        <v>4</v>
      </c>
      <c r="F12" t="s">
        <v>48</v>
      </c>
      <c r="G12">
        <v>1</v>
      </c>
    </row>
    <row r="13" spans="1:7" x14ac:dyDescent="0.45">
      <c r="B13" s="3">
        <v>1</v>
      </c>
      <c r="C13" s="4" t="s">
        <v>142</v>
      </c>
      <c r="D13">
        <v>769941</v>
      </c>
      <c r="E13">
        <v>5</v>
      </c>
      <c r="F13" t="s">
        <v>49</v>
      </c>
      <c r="G13">
        <v>1</v>
      </c>
    </row>
    <row r="14" spans="1:7" x14ac:dyDescent="0.45">
      <c r="B14" s="3">
        <v>1</v>
      </c>
      <c r="C14" s="4" t="s">
        <v>142</v>
      </c>
      <c r="D14">
        <v>769942</v>
      </c>
      <c r="E14">
        <v>6</v>
      </c>
      <c r="F14" t="s">
        <v>50</v>
      </c>
      <c r="G14">
        <v>1</v>
      </c>
    </row>
    <row r="15" spans="1:7" x14ac:dyDescent="0.45">
      <c r="B15" s="3">
        <v>1</v>
      </c>
      <c r="C15" s="4" t="s">
        <v>142</v>
      </c>
      <c r="D15">
        <v>769942</v>
      </c>
      <c r="E15">
        <v>6</v>
      </c>
      <c r="F15" t="s">
        <v>50</v>
      </c>
      <c r="G15">
        <v>2</v>
      </c>
    </row>
    <row r="16" spans="1:7" x14ac:dyDescent="0.45">
      <c r="B16" s="3">
        <v>1</v>
      </c>
      <c r="C16" s="4" t="s">
        <v>142</v>
      </c>
      <c r="D16">
        <v>769943</v>
      </c>
      <c r="E16">
        <v>7</v>
      </c>
      <c r="F16" t="s">
        <v>51</v>
      </c>
      <c r="G16">
        <v>1</v>
      </c>
    </row>
    <row r="17" spans="2:7" x14ac:dyDescent="0.45">
      <c r="B17" s="3">
        <v>1</v>
      </c>
      <c r="C17" s="4" t="s">
        <v>142</v>
      </c>
      <c r="D17">
        <v>769944</v>
      </c>
      <c r="E17">
        <v>8</v>
      </c>
      <c r="F17" t="s">
        <v>52</v>
      </c>
      <c r="G17">
        <v>1</v>
      </c>
    </row>
    <row r="18" spans="2:7" x14ac:dyDescent="0.45">
      <c r="B18" s="3">
        <v>1</v>
      </c>
      <c r="C18" s="4" t="s">
        <v>142</v>
      </c>
      <c r="D18">
        <v>769945</v>
      </c>
      <c r="E18">
        <v>9</v>
      </c>
      <c r="F18" t="s">
        <v>53</v>
      </c>
      <c r="G18">
        <v>1</v>
      </c>
    </row>
    <row r="19" spans="2:7" x14ac:dyDescent="0.45">
      <c r="B19" s="3">
        <v>46</v>
      </c>
      <c r="C19" s="3" t="s">
        <v>144</v>
      </c>
      <c r="D19">
        <v>769953</v>
      </c>
      <c r="E19">
        <v>17</v>
      </c>
      <c r="F19" t="s">
        <v>61</v>
      </c>
      <c r="G19">
        <v>1</v>
      </c>
    </row>
    <row r="20" spans="2:7" x14ac:dyDescent="0.45">
      <c r="B20" s="3">
        <v>46</v>
      </c>
      <c r="C20" s="3" t="s">
        <v>144</v>
      </c>
      <c r="D20">
        <v>769953</v>
      </c>
      <c r="E20">
        <v>17</v>
      </c>
      <c r="F20" t="s">
        <v>61</v>
      </c>
      <c r="G20">
        <v>2</v>
      </c>
    </row>
    <row r="21" spans="2:7" x14ac:dyDescent="0.45">
      <c r="B21" s="3">
        <v>39</v>
      </c>
      <c r="C21" s="3" t="s">
        <v>164</v>
      </c>
      <c r="D21">
        <v>769954</v>
      </c>
      <c r="E21">
        <v>18</v>
      </c>
      <c r="F21" t="s">
        <v>62</v>
      </c>
      <c r="G21">
        <v>1</v>
      </c>
    </row>
    <row r="22" spans="2:7" x14ac:dyDescent="0.45">
      <c r="B22" s="3">
        <v>39</v>
      </c>
      <c r="C22" s="3" t="s">
        <v>164</v>
      </c>
      <c r="D22">
        <v>769954</v>
      </c>
      <c r="E22">
        <v>18</v>
      </c>
      <c r="F22" t="s">
        <v>62</v>
      </c>
      <c r="G22">
        <v>2</v>
      </c>
    </row>
    <row r="23" spans="2:7" x14ac:dyDescent="0.45">
      <c r="B23" s="3">
        <v>7</v>
      </c>
      <c r="C23" s="3" t="s">
        <v>145</v>
      </c>
      <c r="D23">
        <v>769936</v>
      </c>
      <c r="E23">
        <v>1</v>
      </c>
      <c r="F23" t="s">
        <v>45</v>
      </c>
      <c r="G23">
        <v>2</v>
      </c>
    </row>
    <row r="24" spans="2:7" x14ac:dyDescent="0.45">
      <c r="B24" s="3">
        <v>2</v>
      </c>
      <c r="C24" s="3" t="s">
        <v>146</v>
      </c>
      <c r="D24">
        <v>769939</v>
      </c>
      <c r="E24">
        <v>3</v>
      </c>
      <c r="F24" t="s">
        <v>47</v>
      </c>
      <c r="G24">
        <v>3</v>
      </c>
    </row>
    <row r="25" spans="2:7" x14ac:dyDescent="0.45">
      <c r="B25" s="3">
        <v>2</v>
      </c>
      <c r="C25" s="3" t="s">
        <v>146</v>
      </c>
      <c r="D25">
        <v>769940</v>
      </c>
      <c r="E25">
        <v>4</v>
      </c>
      <c r="F25" t="s">
        <v>48</v>
      </c>
      <c r="G25">
        <v>2</v>
      </c>
    </row>
    <row r="26" spans="2:7" x14ac:dyDescent="0.45">
      <c r="B26" s="3">
        <v>2</v>
      </c>
      <c r="C26" s="3" t="s">
        <v>146</v>
      </c>
      <c r="D26">
        <v>769941</v>
      </c>
      <c r="E26">
        <v>5</v>
      </c>
      <c r="F26" t="s">
        <v>49</v>
      </c>
      <c r="G26">
        <v>2</v>
      </c>
    </row>
    <row r="27" spans="2:7" x14ac:dyDescent="0.45">
      <c r="B27" s="3">
        <v>2</v>
      </c>
      <c r="C27" s="3" t="s">
        <v>146</v>
      </c>
      <c r="D27">
        <v>769942</v>
      </c>
      <c r="E27">
        <v>6</v>
      </c>
      <c r="F27" t="s">
        <v>50</v>
      </c>
      <c r="G27">
        <v>3</v>
      </c>
    </row>
    <row r="28" spans="2:7" x14ac:dyDescent="0.45">
      <c r="B28" s="3">
        <v>2</v>
      </c>
      <c r="C28" s="3" t="s">
        <v>146</v>
      </c>
      <c r="D28">
        <v>769943</v>
      </c>
      <c r="E28">
        <v>7</v>
      </c>
      <c r="F28" t="s">
        <v>51</v>
      </c>
      <c r="G28">
        <v>2</v>
      </c>
    </row>
    <row r="29" spans="2:7" x14ac:dyDescent="0.45">
      <c r="B29" s="3">
        <v>2</v>
      </c>
      <c r="C29" s="3" t="s">
        <v>146</v>
      </c>
      <c r="D29">
        <v>769944</v>
      </c>
      <c r="E29">
        <v>8</v>
      </c>
      <c r="F29" t="s">
        <v>52</v>
      </c>
      <c r="G29">
        <v>2</v>
      </c>
    </row>
    <row r="30" spans="2:7" x14ac:dyDescent="0.45">
      <c r="B30" s="3">
        <v>2</v>
      </c>
      <c r="C30" s="3" t="s">
        <v>146</v>
      </c>
      <c r="D30">
        <v>769945</v>
      </c>
      <c r="E30">
        <v>9</v>
      </c>
      <c r="F30" t="s">
        <v>53</v>
      </c>
      <c r="G30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3B0E3-2027-4083-B582-AAB0C4C3F786}">
  <dimension ref="A1:Y47"/>
  <sheetViews>
    <sheetView zoomScale="70" zoomScaleNormal="70" workbookViewId="0">
      <selection activeCell="O3" sqref="O3"/>
    </sheetView>
  </sheetViews>
  <sheetFormatPr defaultRowHeight="14.25" x14ac:dyDescent="0.45"/>
  <cols>
    <col min="3" max="3" width="26.3984375" customWidth="1"/>
    <col min="5" max="5" width="32.59765625" customWidth="1"/>
    <col min="6" max="6" width="12.1328125" customWidth="1"/>
    <col min="7" max="7" width="26.59765625" customWidth="1"/>
    <col min="8" max="8" width="15.73046875" customWidth="1"/>
    <col min="9" max="9" width="13.86328125" customWidth="1"/>
    <col min="10" max="10" width="14.265625" customWidth="1"/>
    <col min="11" max="11" width="40.73046875" customWidth="1"/>
    <col min="12" max="13" width="114.3984375" customWidth="1"/>
    <col min="15" max="15" width="18.265625" customWidth="1"/>
    <col min="17" max="17" width="19.265625" customWidth="1"/>
    <col min="19" max="19" width="22.73046875" customWidth="1"/>
    <col min="20" max="20" width="18" customWidth="1"/>
    <col min="21" max="21" width="18.73046875" customWidth="1"/>
    <col min="23" max="23" width="11.1328125" customWidth="1"/>
  </cols>
  <sheetData>
    <row r="1" spans="1:25" x14ac:dyDescent="0.45">
      <c r="A1">
        <v>700</v>
      </c>
      <c r="B1">
        <v>999</v>
      </c>
      <c r="C1" s="5" t="s">
        <v>159</v>
      </c>
      <c r="D1">
        <v>57688</v>
      </c>
      <c r="E1" t="s">
        <v>112</v>
      </c>
      <c r="F1">
        <v>339009</v>
      </c>
      <c r="G1" t="s">
        <v>107</v>
      </c>
      <c r="J1">
        <v>223</v>
      </c>
      <c r="K1" t="s">
        <v>0</v>
      </c>
      <c r="M1" t="s">
        <v>166</v>
      </c>
      <c r="N1">
        <v>90</v>
      </c>
      <c r="O1" t="s">
        <v>148</v>
      </c>
      <c r="P1">
        <v>92</v>
      </c>
      <c r="Q1" t="s">
        <v>150</v>
      </c>
      <c r="R1">
        <v>95</v>
      </c>
      <c r="S1" t="s">
        <v>153</v>
      </c>
      <c r="T1">
        <v>99</v>
      </c>
      <c r="U1" t="s">
        <v>169</v>
      </c>
    </row>
    <row r="2" spans="1:25" x14ac:dyDescent="0.45">
      <c r="A2">
        <v>769951</v>
      </c>
      <c r="B2">
        <v>15</v>
      </c>
      <c r="C2" t="s">
        <v>59</v>
      </c>
      <c r="D2">
        <v>36847</v>
      </c>
      <c r="E2" t="s">
        <v>13</v>
      </c>
      <c r="F2">
        <v>280330</v>
      </c>
      <c r="G2" t="s">
        <v>14</v>
      </c>
      <c r="J2">
        <v>223</v>
      </c>
      <c r="K2" t="s">
        <v>0</v>
      </c>
      <c r="L2" t="s">
        <v>120</v>
      </c>
      <c r="M2" t="s">
        <v>160</v>
      </c>
      <c r="N2">
        <v>195029</v>
      </c>
      <c r="O2" t="s">
        <v>26</v>
      </c>
      <c r="P2">
        <v>195002</v>
      </c>
      <c r="Q2" t="s">
        <v>30</v>
      </c>
      <c r="R2">
        <v>194941</v>
      </c>
      <c r="S2" t="s">
        <v>27</v>
      </c>
      <c r="T2">
        <v>202342</v>
      </c>
      <c r="U2" t="s">
        <v>86</v>
      </c>
      <c r="V2">
        <v>195003</v>
      </c>
      <c r="W2" t="s">
        <v>28</v>
      </c>
    </row>
    <row r="3" spans="1:25" x14ac:dyDescent="0.45">
      <c r="A3">
        <v>700</v>
      </c>
      <c r="B3">
        <v>999</v>
      </c>
      <c r="C3" s="5" t="s">
        <v>159</v>
      </c>
      <c r="D3">
        <v>57688</v>
      </c>
      <c r="E3" t="s">
        <v>112</v>
      </c>
      <c r="F3">
        <v>339009</v>
      </c>
      <c r="G3" t="s">
        <v>107</v>
      </c>
      <c r="J3">
        <v>223</v>
      </c>
      <c r="K3" t="s">
        <v>0</v>
      </c>
      <c r="M3" t="s">
        <v>167</v>
      </c>
      <c r="N3">
        <v>91</v>
      </c>
      <c r="O3" t="s">
        <v>149</v>
      </c>
      <c r="P3">
        <v>93</v>
      </c>
      <c r="Q3" t="s">
        <v>151</v>
      </c>
      <c r="R3">
        <v>94</v>
      </c>
      <c r="S3" t="s">
        <v>152</v>
      </c>
      <c r="T3">
        <v>96</v>
      </c>
      <c r="U3" t="s">
        <v>154</v>
      </c>
    </row>
    <row r="4" spans="1:25" x14ac:dyDescent="0.45">
      <c r="A4">
        <v>769936</v>
      </c>
      <c r="B4">
        <v>1</v>
      </c>
      <c r="C4" t="s">
        <v>45</v>
      </c>
      <c r="D4">
        <v>68838</v>
      </c>
      <c r="E4" t="s">
        <v>20</v>
      </c>
      <c r="F4">
        <v>308300</v>
      </c>
      <c r="G4" t="s">
        <v>19</v>
      </c>
      <c r="J4">
        <v>1330</v>
      </c>
      <c r="K4" t="s">
        <v>7</v>
      </c>
      <c r="M4" t="s">
        <v>158</v>
      </c>
      <c r="N4">
        <v>164696</v>
      </c>
      <c r="O4" t="s">
        <v>67</v>
      </c>
      <c r="P4">
        <v>155903</v>
      </c>
      <c r="Q4" t="s">
        <v>69</v>
      </c>
      <c r="R4">
        <v>206123</v>
      </c>
      <c r="S4" t="s">
        <v>80</v>
      </c>
      <c r="T4">
        <v>164698</v>
      </c>
      <c r="U4" t="s">
        <v>21</v>
      </c>
      <c r="V4">
        <v>203320</v>
      </c>
      <c r="W4" t="s">
        <v>68</v>
      </c>
      <c r="X4">
        <v>195030</v>
      </c>
      <c r="Y4" t="s">
        <v>39</v>
      </c>
    </row>
    <row r="5" spans="1:25" x14ac:dyDescent="0.45">
      <c r="A5">
        <v>769943</v>
      </c>
      <c r="B5">
        <v>7</v>
      </c>
      <c r="C5" t="s">
        <v>51</v>
      </c>
      <c r="D5">
        <v>40552</v>
      </c>
      <c r="E5" t="s">
        <v>1</v>
      </c>
      <c r="F5">
        <v>328352</v>
      </c>
      <c r="G5" t="s">
        <v>102</v>
      </c>
      <c r="J5">
        <v>869</v>
      </c>
      <c r="K5" t="s">
        <v>2</v>
      </c>
      <c r="L5" t="s">
        <v>116</v>
      </c>
      <c r="N5">
        <v>145535</v>
      </c>
      <c r="O5" t="s">
        <v>77</v>
      </c>
    </row>
    <row r="6" spans="1:25" x14ac:dyDescent="0.45">
      <c r="A6">
        <v>769939</v>
      </c>
      <c r="B6">
        <v>3</v>
      </c>
      <c r="C6" t="s">
        <v>47</v>
      </c>
      <c r="D6">
        <v>39162</v>
      </c>
      <c r="E6" t="s">
        <v>9</v>
      </c>
      <c r="F6">
        <v>342703</v>
      </c>
      <c r="G6" t="s">
        <v>8</v>
      </c>
      <c r="J6">
        <v>1330</v>
      </c>
      <c r="K6" t="s">
        <v>7</v>
      </c>
      <c r="L6" t="s">
        <v>114</v>
      </c>
      <c r="N6">
        <v>51513</v>
      </c>
      <c r="O6" t="s">
        <v>4</v>
      </c>
    </row>
    <row r="7" spans="1:25" x14ac:dyDescent="0.45">
      <c r="A7">
        <v>769943</v>
      </c>
      <c r="B7">
        <v>7</v>
      </c>
      <c r="C7" t="s">
        <v>51</v>
      </c>
      <c r="D7">
        <v>65038</v>
      </c>
      <c r="E7" t="s">
        <v>6</v>
      </c>
      <c r="F7">
        <v>312598</v>
      </c>
      <c r="G7" t="s">
        <v>100</v>
      </c>
      <c r="J7">
        <v>223</v>
      </c>
      <c r="K7" t="s">
        <v>0</v>
      </c>
      <c r="N7">
        <v>101580</v>
      </c>
      <c r="O7" t="s">
        <v>75</v>
      </c>
    </row>
    <row r="8" spans="1:25" x14ac:dyDescent="0.45">
      <c r="A8">
        <v>769940</v>
      </c>
      <c r="B8">
        <v>4</v>
      </c>
      <c r="C8" t="s">
        <v>48</v>
      </c>
      <c r="D8">
        <v>44766</v>
      </c>
      <c r="E8" t="s">
        <v>66</v>
      </c>
      <c r="F8">
        <v>293254</v>
      </c>
      <c r="G8" t="s">
        <v>65</v>
      </c>
      <c r="J8">
        <v>223</v>
      </c>
      <c r="K8" t="s">
        <v>0</v>
      </c>
      <c r="N8">
        <v>124472</v>
      </c>
      <c r="O8" t="s">
        <v>72</v>
      </c>
    </row>
    <row r="9" spans="1:25" x14ac:dyDescent="0.45">
      <c r="A9">
        <v>769944</v>
      </c>
      <c r="B9">
        <v>8</v>
      </c>
      <c r="C9" t="s">
        <v>52</v>
      </c>
      <c r="D9">
        <v>39667</v>
      </c>
      <c r="E9" t="s">
        <v>44</v>
      </c>
      <c r="F9">
        <v>342894</v>
      </c>
      <c r="G9" s="9" t="s">
        <v>42</v>
      </c>
      <c r="J9">
        <v>986</v>
      </c>
      <c r="K9" t="s">
        <v>40</v>
      </c>
      <c r="N9">
        <v>155124</v>
      </c>
      <c r="O9" t="s">
        <v>79</v>
      </c>
    </row>
    <row r="10" spans="1:25" x14ac:dyDescent="0.45">
      <c r="A10">
        <v>769940</v>
      </c>
      <c r="B10">
        <v>4</v>
      </c>
      <c r="C10" t="s">
        <v>48</v>
      </c>
      <c r="D10">
        <v>40552</v>
      </c>
      <c r="E10" t="s">
        <v>1</v>
      </c>
      <c r="F10">
        <v>354215</v>
      </c>
      <c r="G10" t="s">
        <v>131</v>
      </c>
      <c r="J10">
        <v>869</v>
      </c>
      <c r="K10" t="s">
        <v>2</v>
      </c>
      <c r="N10">
        <v>106236</v>
      </c>
      <c r="O10" t="s">
        <v>126</v>
      </c>
    </row>
    <row r="11" spans="1:25" x14ac:dyDescent="0.45">
      <c r="A11">
        <v>769940</v>
      </c>
      <c r="B11">
        <v>4</v>
      </c>
      <c r="C11" t="s">
        <v>48</v>
      </c>
      <c r="D11">
        <v>44766</v>
      </c>
      <c r="E11" t="s">
        <v>66</v>
      </c>
      <c r="F11">
        <v>123</v>
      </c>
      <c r="G11" t="s">
        <v>161</v>
      </c>
      <c r="J11">
        <v>223</v>
      </c>
      <c r="K11" t="s">
        <v>0</v>
      </c>
      <c r="N11">
        <v>160950</v>
      </c>
      <c r="O11" t="s">
        <v>73</v>
      </c>
    </row>
    <row r="12" spans="1:25" x14ac:dyDescent="0.45">
      <c r="A12">
        <v>769941</v>
      </c>
      <c r="B12">
        <v>5</v>
      </c>
      <c r="C12" t="s">
        <v>49</v>
      </c>
      <c r="D12">
        <v>39667</v>
      </c>
      <c r="E12" t="s">
        <v>44</v>
      </c>
      <c r="F12">
        <v>125</v>
      </c>
      <c r="G12" t="s">
        <v>211</v>
      </c>
      <c r="J12">
        <v>986</v>
      </c>
      <c r="K12" t="s">
        <v>40</v>
      </c>
      <c r="N12">
        <v>134303</v>
      </c>
      <c r="O12" t="s">
        <v>24</v>
      </c>
    </row>
    <row r="13" spans="1:25" s="7" customFormat="1" x14ac:dyDescent="0.45">
      <c r="A13" s="7">
        <v>769940</v>
      </c>
      <c r="B13" s="7">
        <v>4</v>
      </c>
      <c r="C13" s="7" t="s">
        <v>48</v>
      </c>
      <c r="D13" s="7">
        <v>36847</v>
      </c>
      <c r="E13" s="7" t="s">
        <v>13</v>
      </c>
      <c r="F13" s="7">
        <v>280330</v>
      </c>
      <c r="G13" s="7" t="s">
        <v>14</v>
      </c>
      <c r="J13" s="7">
        <v>223</v>
      </c>
      <c r="K13" s="7" t="s">
        <v>0</v>
      </c>
      <c r="N13" s="7">
        <v>101407</v>
      </c>
      <c r="O13" s="7" t="s">
        <v>70</v>
      </c>
    </row>
    <row r="14" spans="1:25" x14ac:dyDescent="0.45">
      <c r="A14">
        <v>769943</v>
      </c>
      <c r="B14">
        <v>7</v>
      </c>
      <c r="C14" t="s">
        <v>51</v>
      </c>
      <c r="D14">
        <v>24976</v>
      </c>
      <c r="E14" t="s">
        <v>43</v>
      </c>
      <c r="F14">
        <v>316201</v>
      </c>
      <c r="G14" t="s">
        <v>41</v>
      </c>
      <c r="J14">
        <v>1330</v>
      </c>
      <c r="K14" t="s">
        <v>7</v>
      </c>
      <c r="N14">
        <v>155915</v>
      </c>
      <c r="O14" t="s">
        <v>11</v>
      </c>
    </row>
    <row r="15" spans="1:25" s="7" customFormat="1" x14ac:dyDescent="0.45">
      <c r="A15" s="7">
        <v>769943</v>
      </c>
      <c r="B15" s="7">
        <v>7</v>
      </c>
      <c r="C15" s="7" t="s">
        <v>51</v>
      </c>
      <c r="D15" s="7">
        <v>39162</v>
      </c>
      <c r="E15" s="7" t="s">
        <v>9</v>
      </c>
      <c r="F15" s="7">
        <v>342703</v>
      </c>
      <c r="G15" s="7" t="s">
        <v>8</v>
      </c>
      <c r="J15" s="7">
        <v>223</v>
      </c>
      <c r="K15" s="7" t="s">
        <v>0</v>
      </c>
      <c r="N15" s="7">
        <v>155140</v>
      </c>
      <c r="O15" s="7" t="s">
        <v>16</v>
      </c>
    </row>
    <row r="16" spans="1:25" s="7" customFormat="1" x14ac:dyDescent="0.45">
      <c r="A16" s="7">
        <v>769939</v>
      </c>
      <c r="B16" s="7">
        <v>3</v>
      </c>
      <c r="C16" s="7" t="s">
        <v>47</v>
      </c>
      <c r="D16" s="7">
        <v>39162</v>
      </c>
      <c r="E16" s="7" t="s">
        <v>9</v>
      </c>
      <c r="F16" s="7">
        <v>342703</v>
      </c>
      <c r="G16" s="7" t="s">
        <v>8</v>
      </c>
      <c r="J16" s="7">
        <v>1330</v>
      </c>
      <c r="K16" s="7" t="s">
        <v>7</v>
      </c>
      <c r="L16" s="7" t="s">
        <v>113</v>
      </c>
      <c r="N16" s="7">
        <v>99453</v>
      </c>
      <c r="O16" s="7" t="s">
        <v>12</v>
      </c>
    </row>
    <row r="17" spans="1:25" s="7" customFormat="1" x14ac:dyDescent="0.45">
      <c r="A17" s="7">
        <v>769940</v>
      </c>
      <c r="B17" s="7">
        <v>4</v>
      </c>
      <c r="C17" s="7" t="s">
        <v>48</v>
      </c>
      <c r="D17" s="7">
        <v>36847</v>
      </c>
      <c r="E17" s="7" t="s">
        <v>13</v>
      </c>
      <c r="F17" s="7">
        <v>280330</v>
      </c>
      <c r="G17" s="7" t="s">
        <v>14</v>
      </c>
      <c r="J17" s="7">
        <v>223</v>
      </c>
      <c r="K17" s="7" t="s">
        <v>0</v>
      </c>
      <c r="N17" s="7">
        <v>119893</v>
      </c>
      <c r="O17" s="7" t="s">
        <v>71</v>
      </c>
    </row>
    <row r="18" spans="1:25" s="7" customFormat="1" x14ac:dyDescent="0.45">
      <c r="A18" s="7">
        <v>769943</v>
      </c>
      <c r="B18" s="7">
        <v>7</v>
      </c>
      <c r="C18" s="7" t="s">
        <v>51</v>
      </c>
      <c r="D18" s="7">
        <v>24976</v>
      </c>
      <c r="E18" s="7" t="s">
        <v>43</v>
      </c>
      <c r="F18" s="7">
        <v>316201</v>
      </c>
      <c r="G18" s="7" t="s">
        <v>41</v>
      </c>
      <c r="J18" s="7">
        <v>223</v>
      </c>
      <c r="K18" s="7" t="s">
        <v>0</v>
      </c>
      <c r="L18" s="7" t="s">
        <v>115</v>
      </c>
      <c r="N18" s="7">
        <v>155892</v>
      </c>
      <c r="O18" s="7" t="s">
        <v>74</v>
      </c>
    </row>
    <row r="19" spans="1:25" x14ac:dyDescent="0.45">
      <c r="A19">
        <v>769943</v>
      </c>
      <c r="B19">
        <v>7</v>
      </c>
      <c r="C19" t="s">
        <v>51</v>
      </c>
      <c r="D19">
        <v>44766</v>
      </c>
      <c r="E19" t="s">
        <v>66</v>
      </c>
      <c r="F19">
        <v>293254</v>
      </c>
      <c r="G19" t="s">
        <v>65</v>
      </c>
      <c r="J19">
        <v>223</v>
      </c>
      <c r="K19" t="s">
        <v>0</v>
      </c>
      <c r="N19">
        <v>163943</v>
      </c>
      <c r="O19" t="s">
        <v>76</v>
      </c>
    </row>
    <row r="20" spans="1:25" x14ac:dyDescent="0.45">
      <c r="A20">
        <v>769943</v>
      </c>
      <c r="B20">
        <v>7</v>
      </c>
      <c r="C20" t="s">
        <v>51</v>
      </c>
      <c r="D20">
        <v>40552</v>
      </c>
      <c r="E20" t="s">
        <v>1</v>
      </c>
      <c r="F20">
        <v>354215</v>
      </c>
      <c r="G20" t="s">
        <v>131</v>
      </c>
      <c r="J20">
        <v>869</v>
      </c>
      <c r="K20" t="s">
        <v>2</v>
      </c>
      <c r="N20">
        <v>134608</v>
      </c>
      <c r="O20" t="s">
        <v>128</v>
      </c>
    </row>
    <row r="21" spans="1:25" x14ac:dyDescent="0.45">
      <c r="A21">
        <v>769944</v>
      </c>
      <c r="B21">
        <v>8</v>
      </c>
      <c r="C21" t="s">
        <v>52</v>
      </c>
      <c r="D21">
        <v>39667</v>
      </c>
      <c r="E21" t="s">
        <v>44</v>
      </c>
      <c r="F21">
        <v>342894</v>
      </c>
      <c r="G21" t="s">
        <v>42</v>
      </c>
      <c r="J21">
        <v>986</v>
      </c>
      <c r="K21" t="s">
        <v>40</v>
      </c>
      <c r="N21">
        <v>200328</v>
      </c>
      <c r="O21" t="s">
        <v>23</v>
      </c>
    </row>
    <row r="22" spans="1:25" x14ac:dyDescent="0.45">
      <c r="A22">
        <v>769945</v>
      </c>
      <c r="B22">
        <v>9</v>
      </c>
      <c r="C22" t="s">
        <v>53</v>
      </c>
      <c r="D22">
        <v>44766</v>
      </c>
      <c r="E22" t="s">
        <v>66</v>
      </c>
      <c r="F22">
        <v>123</v>
      </c>
      <c r="G22" t="s">
        <v>161</v>
      </c>
      <c r="J22">
        <v>223</v>
      </c>
      <c r="K22" t="s">
        <v>0</v>
      </c>
      <c r="L22" t="s">
        <v>118</v>
      </c>
      <c r="N22">
        <v>190842</v>
      </c>
      <c r="O22" t="s">
        <v>36</v>
      </c>
    </row>
    <row r="23" spans="1:25" x14ac:dyDescent="0.45">
      <c r="A23">
        <v>769943</v>
      </c>
      <c r="B23">
        <v>7</v>
      </c>
      <c r="C23" t="s">
        <v>51</v>
      </c>
      <c r="D23">
        <v>40552</v>
      </c>
      <c r="E23" t="s">
        <v>1</v>
      </c>
      <c r="F23">
        <v>330385</v>
      </c>
      <c r="G23" t="s">
        <v>103</v>
      </c>
      <c r="J23">
        <v>869</v>
      </c>
      <c r="K23" t="s">
        <v>2</v>
      </c>
      <c r="L23" t="s">
        <v>117</v>
      </c>
      <c r="N23">
        <v>98</v>
      </c>
      <c r="O23" t="s">
        <v>168</v>
      </c>
    </row>
    <row r="24" spans="1:25" x14ac:dyDescent="0.45">
      <c r="A24">
        <v>769951</v>
      </c>
      <c r="B24">
        <v>15</v>
      </c>
      <c r="C24" t="s">
        <v>59</v>
      </c>
      <c r="D24">
        <v>36847</v>
      </c>
      <c r="E24" t="s">
        <v>13</v>
      </c>
      <c r="F24">
        <v>280330</v>
      </c>
      <c r="G24" t="s">
        <v>14</v>
      </c>
      <c r="J24">
        <v>223</v>
      </c>
      <c r="K24" t="s">
        <v>0</v>
      </c>
      <c r="L24" t="s">
        <v>121</v>
      </c>
      <c r="M24" t="s">
        <v>140</v>
      </c>
      <c r="N24">
        <v>202327</v>
      </c>
      <c r="O24" t="s">
        <v>25</v>
      </c>
      <c r="P24">
        <v>202520</v>
      </c>
      <c r="Q24" t="s">
        <v>29</v>
      </c>
      <c r="R24">
        <v>205893</v>
      </c>
      <c r="S24" t="s">
        <v>87</v>
      </c>
      <c r="T24">
        <v>194944</v>
      </c>
      <c r="U24" t="s">
        <v>31</v>
      </c>
    </row>
    <row r="25" spans="1:25" x14ac:dyDescent="0.45">
      <c r="A25">
        <v>769952</v>
      </c>
      <c r="B25">
        <v>16</v>
      </c>
      <c r="C25" t="s">
        <v>60</v>
      </c>
      <c r="D25">
        <v>180813</v>
      </c>
      <c r="E25" t="s">
        <v>109</v>
      </c>
      <c r="F25">
        <v>328098</v>
      </c>
      <c r="G25" t="s">
        <v>105</v>
      </c>
      <c r="J25">
        <v>1330</v>
      </c>
      <c r="K25" t="s">
        <v>7</v>
      </c>
      <c r="L25" t="s">
        <v>122</v>
      </c>
      <c r="M25" t="s">
        <v>156</v>
      </c>
      <c r="N25">
        <v>203576</v>
      </c>
      <c r="O25" t="s">
        <v>88</v>
      </c>
      <c r="P25">
        <v>190728</v>
      </c>
      <c r="Q25" t="s">
        <v>89</v>
      </c>
      <c r="R25">
        <v>203579</v>
      </c>
      <c r="S25" t="s">
        <v>90</v>
      </c>
      <c r="T25">
        <v>206216</v>
      </c>
      <c r="U25" t="s">
        <v>91</v>
      </c>
      <c r="V25">
        <v>204013</v>
      </c>
      <c r="W25" t="s">
        <v>92</v>
      </c>
    </row>
    <row r="26" spans="1:25" ht="15.4" x14ac:dyDescent="0.45">
      <c r="A26">
        <v>769949</v>
      </c>
      <c r="B26">
        <v>13</v>
      </c>
      <c r="C26" t="s">
        <v>57</v>
      </c>
      <c r="D26">
        <v>49704</v>
      </c>
      <c r="E26" t="s">
        <v>108</v>
      </c>
      <c r="F26">
        <v>124</v>
      </c>
      <c r="G26" s="8" t="s">
        <v>165</v>
      </c>
      <c r="J26">
        <v>1330</v>
      </c>
      <c r="K26" t="s">
        <v>7</v>
      </c>
      <c r="L26" t="s">
        <v>119</v>
      </c>
      <c r="M26" t="s">
        <v>157</v>
      </c>
      <c r="N26">
        <v>206123</v>
      </c>
      <c r="O26" t="s">
        <v>80</v>
      </c>
      <c r="P26">
        <v>171512</v>
      </c>
      <c r="Q26" t="s">
        <v>81</v>
      </c>
      <c r="R26">
        <v>181877</v>
      </c>
      <c r="S26" t="s">
        <v>82</v>
      </c>
      <c r="T26" s="1">
        <v>201304</v>
      </c>
      <c r="U26" t="s">
        <v>83</v>
      </c>
      <c r="V26">
        <v>186888</v>
      </c>
      <c r="W26" t="s">
        <v>84</v>
      </c>
      <c r="X26">
        <v>200754</v>
      </c>
      <c r="Y26" t="s">
        <v>85</v>
      </c>
    </row>
    <row r="27" spans="1:25" x14ac:dyDescent="0.45">
      <c r="A27">
        <v>769953</v>
      </c>
      <c r="B27">
        <v>17</v>
      </c>
      <c r="C27" t="s">
        <v>61</v>
      </c>
      <c r="D27">
        <v>65539</v>
      </c>
      <c r="E27" t="s">
        <v>110</v>
      </c>
      <c r="F27">
        <v>262992</v>
      </c>
      <c r="G27" t="s">
        <v>99</v>
      </c>
      <c r="J27">
        <v>869</v>
      </c>
      <c r="K27" t="s">
        <v>2</v>
      </c>
      <c r="L27" t="s">
        <v>123</v>
      </c>
      <c r="N27">
        <v>195035</v>
      </c>
      <c r="O27" t="s">
        <v>93</v>
      </c>
    </row>
    <row r="28" spans="1:25" x14ac:dyDescent="0.45">
      <c r="A28">
        <v>769953</v>
      </c>
      <c r="B28">
        <v>17</v>
      </c>
      <c r="C28" t="s">
        <v>61</v>
      </c>
      <c r="D28">
        <v>34557</v>
      </c>
      <c r="E28" t="s">
        <v>111</v>
      </c>
      <c r="F28">
        <v>262992</v>
      </c>
      <c r="G28" t="s">
        <v>99</v>
      </c>
      <c r="J28">
        <v>869</v>
      </c>
      <c r="K28" t="s">
        <v>2</v>
      </c>
      <c r="N28">
        <v>195019</v>
      </c>
      <c r="O28" t="s">
        <v>94</v>
      </c>
    </row>
    <row r="29" spans="1:25" x14ac:dyDescent="0.45">
      <c r="A29">
        <v>769953</v>
      </c>
      <c r="B29">
        <v>17</v>
      </c>
      <c r="C29" t="s">
        <v>61</v>
      </c>
      <c r="D29">
        <v>96828</v>
      </c>
      <c r="E29" t="s">
        <v>22</v>
      </c>
      <c r="F29">
        <v>334748</v>
      </c>
      <c r="G29" t="s">
        <v>18</v>
      </c>
      <c r="J29">
        <v>1330</v>
      </c>
      <c r="K29" t="s">
        <v>7</v>
      </c>
      <c r="N29">
        <v>206243</v>
      </c>
      <c r="O29" t="s">
        <v>96</v>
      </c>
    </row>
    <row r="30" spans="1:25" x14ac:dyDescent="0.45">
      <c r="A30">
        <v>769953</v>
      </c>
      <c r="B30">
        <v>17</v>
      </c>
      <c r="C30" t="s">
        <v>61</v>
      </c>
      <c r="D30">
        <v>180813</v>
      </c>
      <c r="E30" t="s">
        <v>109</v>
      </c>
      <c r="F30">
        <v>328098</v>
      </c>
      <c r="G30" t="s">
        <v>105</v>
      </c>
      <c r="J30">
        <v>1330</v>
      </c>
      <c r="K30" t="s">
        <v>7</v>
      </c>
      <c r="N30">
        <v>29744</v>
      </c>
      <c r="O30" t="s">
        <v>95</v>
      </c>
    </row>
    <row r="31" spans="1:25" x14ac:dyDescent="0.45">
      <c r="A31">
        <v>769953</v>
      </c>
      <c r="B31">
        <v>17</v>
      </c>
      <c r="C31" t="s">
        <v>61</v>
      </c>
      <c r="D31">
        <v>180813</v>
      </c>
      <c r="E31" t="s">
        <v>109</v>
      </c>
      <c r="F31">
        <v>328098</v>
      </c>
      <c r="G31" t="s">
        <v>105</v>
      </c>
      <c r="J31">
        <v>986</v>
      </c>
      <c r="K31" t="s">
        <v>40</v>
      </c>
      <c r="L31" t="s">
        <v>124</v>
      </c>
      <c r="N31">
        <v>169428</v>
      </c>
      <c r="O31" t="s">
        <v>37</v>
      </c>
    </row>
    <row r="32" spans="1:25" x14ac:dyDescent="0.45">
      <c r="A32">
        <v>769953</v>
      </c>
      <c r="B32">
        <v>17</v>
      </c>
      <c r="C32" t="s">
        <v>61</v>
      </c>
      <c r="D32">
        <v>180813</v>
      </c>
      <c r="E32" t="s">
        <v>109</v>
      </c>
      <c r="F32">
        <v>328098</v>
      </c>
      <c r="G32" t="s">
        <v>105</v>
      </c>
      <c r="J32">
        <v>986</v>
      </c>
      <c r="K32" t="s">
        <v>40</v>
      </c>
      <c r="L32" t="s">
        <v>124</v>
      </c>
      <c r="N32">
        <v>186749</v>
      </c>
      <c r="O32" t="s">
        <v>38</v>
      </c>
    </row>
    <row r="33" spans="1:15" x14ac:dyDescent="0.45">
      <c r="A33">
        <v>769953</v>
      </c>
      <c r="B33">
        <v>17</v>
      </c>
      <c r="C33" t="s">
        <v>61</v>
      </c>
      <c r="D33">
        <v>24976</v>
      </c>
      <c r="E33" t="s">
        <v>43</v>
      </c>
      <c r="F33">
        <v>316201</v>
      </c>
      <c r="G33" t="s">
        <v>41</v>
      </c>
      <c r="J33">
        <v>1330</v>
      </c>
      <c r="K33" t="s">
        <v>7</v>
      </c>
      <c r="N33">
        <v>163633</v>
      </c>
      <c r="O33" t="s">
        <v>35</v>
      </c>
    </row>
    <row r="34" spans="1:15" s="7" customFormat="1" ht="15.4" x14ac:dyDescent="0.45">
      <c r="A34" s="7">
        <v>769953</v>
      </c>
      <c r="B34" s="7">
        <v>17</v>
      </c>
      <c r="C34" s="7" t="s">
        <v>61</v>
      </c>
      <c r="D34" s="7">
        <v>49704</v>
      </c>
      <c r="E34" s="7" t="s">
        <v>108</v>
      </c>
      <c r="F34">
        <v>124</v>
      </c>
      <c r="G34" s="8" t="s">
        <v>165</v>
      </c>
      <c r="J34" s="7">
        <v>1330</v>
      </c>
      <c r="K34" s="7" t="s">
        <v>7</v>
      </c>
      <c r="N34" s="7">
        <v>181877</v>
      </c>
      <c r="O34" s="7" t="s">
        <v>82</v>
      </c>
    </row>
    <row r="35" spans="1:15" x14ac:dyDescent="0.45">
      <c r="A35">
        <v>769954</v>
      </c>
      <c r="B35">
        <v>18</v>
      </c>
      <c r="C35" t="s">
        <v>62</v>
      </c>
      <c r="D35">
        <v>68838</v>
      </c>
      <c r="E35" t="s">
        <v>20</v>
      </c>
      <c r="F35">
        <v>308300</v>
      </c>
      <c r="G35" t="s">
        <v>19</v>
      </c>
      <c r="J35">
        <v>223</v>
      </c>
      <c r="K35" t="s">
        <v>0</v>
      </c>
      <c r="L35" t="s">
        <v>125</v>
      </c>
      <c r="N35">
        <v>202327</v>
      </c>
      <c r="O35" t="s">
        <v>25</v>
      </c>
    </row>
    <row r="36" spans="1:15" x14ac:dyDescent="0.45">
      <c r="A36">
        <v>769954</v>
      </c>
      <c r="B36">
        <v>18</v>
      </c>
      <c r="C36" t="s">
        <v>62</v>
      </c>
      <c r="D36">
        <v>57688</v>
      </c>
      <c r="E36" t="s">
        <v>112</v>
      </c>
      <c r="F36">
        <v>339009</v>
      </c>
      <c r="G36" t="s">
        <v>107</v>
      </c>
      <c r="J36">
        <v>223</v>
      </c>
      <c r="K36" t="s">
        <v>0</v>
      </c>
      <c r="L36" t="s">
        <v>125</v>
      </c>
      <c r="N36">
        <v>194944</v>
      </c>
      <c r="O36" t="s">
        <v>31</v>
      </c>
    </row>
    <row r="37" spans="1:15" s="7" customFormat="1" x14ac:dyDescent="0.45">
      <c r="A37" s="7">
        <v>769954</v>
      </c>
      <c r="B37" s="7">
        <v>18</v>
      </c>
      <c r="C37" s="7" t="s">
        <v>62</v>
      </c>
      <c r="D37" s="7">
        <v>39162</v>
      </c>
      <c r="E37" s="7" t="s">
        <v>9</v>
      </c>
      <c r="F37" s="7">
        <v>342703</v>
      </c>
      <c r="G37" s="7" t="s">
        <v>8</v>
      </c>
      <c r="J37" s="7">
        <v>223</v>
      </c>
      <c r="K37" s="7" t="s">
        <v>0</v>
      </c>
      <c r="L37" s="7" t="s">
        <v>125</v>
      </c>
      <c r="N37" s="7">
        <v>202520</v>
      </c>
      <c r="O37" s="7" t="s">
        <v>29</v>
      </c>
    </row>
    <row r="38" spans="1:15" x14ac:dyDescent="0.45">
      <c r="A38">
        <v>769954</v>
      </c>
      <c r="B38">
        <v>18</v>
      </c>
      <c r="C38" t="s">
        <v>62</v>
      </c>
      <c r="D38">
        <v>180813</v>
      </c>
      <c r="E38" t="s">
        <v>109</v>
      </c>
      <c r="F38">
        <v>328098</v>
      </c>
      <c r="G38" t="s">
        <v>105</v>
      </c>
      <c r="J38">
        <v>986</v>
      </c>
      <c r="K38" t="s">
        <v>40</v>
      </c>
      <c r="N38">
        <v>186751</v>
      </c>
      <c r="O38" t="s">
        <v>5</v>
      </c>
    </row>
    <row r="39" spans="1:15" s="6" customFormat="1" x14ac:dyDescent="0.45">
      <c r="A39" s="6">
        <v>769954</v>
      </c>
      <c r="B39" s="6">
        <v>18</v>
      </c>
      <c r="C39" s="6" t="s">
        <v>62</v>
      </c>
      <c r="D39" s="6">
        <v>39162</v>
      </c>
      <c r="E39" s="6" t="s">
        <v>9</v>
      </c>
      <c r="F39" s="6">
        <v>342703</v>
      </c>
      <c r="G39" s="6" t="s">
        <v>8</v>
      </c>
      <c r="J39" s="6">
        <v>223</v>
      </c>
      <c r="K39" s="6" t="s">
        <v>0</v>
      </c>
      <c r="L39" s="6" t="s">
        <v>125</v>
      </c>
      <c r="N39" s="6">
        <v>195002</v>
      </c>
      <c r="O39" s="6" t="s">
        <v>30</v>
      </c>
    </row>
    <row r="40" spans="1:15" x14ac:dyDescent="0.45">
      <c r="A40">
        <v>769954</v>
      </c>
      <c r="B40">
        <v>18</v>
      </c>
      <c r="C40" t="s">
        <v>62</v>
      </c>
      <c r="D40">
        <v>57688</v>
      </c>
      <c r="E40" t="s">
        <v>112</v>
      </c>
      <c r="F40">
        <v>339009</v>
      </c>
      <c r="G40" t="s">
        <v>107</v>
      </c>
      <c r="J40">
        <v>223</v>
      </c>
      <c r="K40" t="s">
        <v>0</v>
      </c>
      <c r="L40" t="s">
        <v>125</v>
      </c>
      <c r="N40">
        <v>202342</v>
      </c>
      <c r="O40" t="s">
        <v>86</v>
      </c>
    </row>
    <row r="41" spans="1:15" x14ac:dyDescent="0.45">
      <c r="A41">
        <v>769954</v>
      </c>
      <c r="B41">
        <v>18</v>
      </c>
      <c r="C41" t="s">
        <v>62</v>
      </c>
      <c r="D41">
        <v>57688</v>
      </c>
      <c r="E41" t="s">
        <v>112</v>
      </c>
      <c r="F41">
        <v>339009</v>
      </c>
      <c r="G41" t="s">
        <v>107</v>
      </c>
      <c r="J41">
        <v>223</v>
      </c>
      <c r="K41" t="s">
        <v>0</v>
      </c>
      <c r="L41" t="s">
        <v>125</v>
      </c>
      <c r="N41">
        <v>195003</v>
      </c>
      <c r="O41" t="s">
        <v>28</v>
      </c>
    </row>
    <row r="42" spans="1:15" x14ac:dyDescent="0.45">
      <c r="A42">
        <v>769954</v>
      </c>
      <c r="B42">
        <v>18</v>
      </c>
      <c r="C42" t="s">
        <v>62</v>
      </c>
      <c r="D42">
        <v>68838</v>
      </c>
      <c r="E42" t="s">
        <v>20</v>
      </c>
      <c r="F42">
        <v>308300</v>
      </c>
      <c r="G42" t="s">
        <v>19</v>
      </c>
      <c r="J42">
        <v>223</v>
      </c>
      <c r="K42" t="s">
        <v>0</v>
      </c>
      <c r="L42" t="s">
        <v>125</v>
      </c>
      <c r="N42">
        <v>195029</v>
      </c>
      <c r="O42" t="s">
        <v>26</v>
      </c>
    </row>
    <row r="43" spans="1:15" x14ac:dyDescent="0.45">
      <c r="A43">
        <v>769954</v>
      </c>
      <c r="B43">
        <v>18</v>
      </c>
      <c r="C43" t="s">
        <v>62</v>
      </c>
      <c r="D43">
        <v>68838</v>
      </c>
      <c r="E43" t="s">
        <v>20</v>
      </c>
      <c r="F43">
        <v>308300</v>
      </c>
      <c r="G43" t="s">
        <v>19</v>
      </c>
      <c r="J43">
        <v>223</v>
      </c>
      <c r="K43" t="s">
        <v>0</v>
      </c>
      <c r="L43" t="s">
        <v>125</v>
      </c>
      <c r="N43">
        <v>205893</v>
      </c>
      <c r="O43" t="s">
        <v>87</v>
      </c>
    </row>
    <row r="44" spans="1:15" x14ac:dyDescent="0.45">
      <c r="A44">
        <v>769954</v>
      </c>
      <c r="B44">
        <v>18</v>
      </c>
      <c r="C44" t="s">
        <v>62</v>
      </c>
      <c r="D44">
        <v>68838</v>
      </c>
      <c r="E44" t="s">
        <v>20</v>
      </c>
      <c r="F44">
        <v>308300</v>
      </c>
      <c r="G44" t="s">
        <v>19</v>
      </c>
      <c r="J44">
        <v>223</v>
      </c>
      <c r="K44" t="s">
        <v>0</v>
      </c>
      <c r="L44" t="s">
        <v>125</v>
      </c>
      <c r="N44">
        <v>194941</v>
      </c>
      <c r="O44" t="s">
        <v>27</v>
      </c>
    </row>
    <row r="45" spans="1:15" x14ac:dyDescent="0.45">
      <c r="A45">
        <v>769954</v>
      </c>
      <c r="B45">
        <v>18</v>
      </c>
      <c r="C45" t="s">
        <v>62</v>
      </c>
      <c r="D45">
        <v>180813</v>
      </c>
      <c r="E45" t="s">
        <v>109</v>
      </c>
      <c r="F45">
        <v>328098</v>
      </c>
      <c r="G45" t="s">
        <v>105</v>
      </c>
      <c r="J45">
        <v>986</v>
      </c>
      <c r="K45" t="s">
        <v>40</v>
      </c>
      <c r="N45">
        <v>186781</v>
      </c>
      <c r="O45" t="s">
        <v>34</v>
      </c>
    </row>
    <row r="46" spans="1:15" x14ac:dyDescent="0.45">
      <c r="A46">
        <v>769954</v>
      </c>
      <c r="B46">
        <v>18</v>
      </c>
      <c r="C46" t="s">
        <v>62</v>
      </c>
      <c r="D46">
        <v>180813</v>
      </c>
      <c r="E46" t="s">
        <v>109</v>
      </c>
      <c r="F46">
        <v>328098</v>
      </c>
      <c r="G46" t="s">
        <v>105</v>
      </c>
      <c r="J46">
        <v>986</v>
      </c>
      <c r="K46" t="s">
        <v>40</v>
      </c>
      <c r="N46">
        <v>195012</v>
      </c>
      <c r="O46" t="s">
        <v>32</v>
      </c>
    </row>
    <row r="47" spans="1:15" x14ac:dyDescent="0.45">
      <c r="A47">
        <v>769954</v>
      </c>
      <c r="B47">
        <v>18</v>
      </c>
      <c r="C47" t="s">
        <v>62</v>
      </c>
      <c r="D47">
        <v>180813</v>
      </c>
      <c r="E47" t="s">
        <v>109</v>
      </c>
      <c r="F47">
        <v>328098</v>
      </c>
      <c r="G47" t="s">
        <v>105</v>
      </c>
      <c r="J47">
        <v>986</v>
      </c>
      <c r="K47" t="s">
        <v>40</v>
      </c>
      <c r="N47">
        <v>186646</v>
      </c>
      <c r="O47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28CB-C6E2-4B8D-9091-1FD20615DBE1}">
  <dimension ref="A1:F20"/>
  <sheetViews>
    <sheetView workbookViewId="0">
      <selection activeCell="O26" sqref="O26"/>
    </sheetView>
  </sheetViews>
  <sheetFormatPr defaultRowHeight="14.25" x14ac:dyDescent="0.45"/>
  <cols>
    <col min="1" max="1" width="15" customWidth="1"/>
    <col min="3" max="3" width="45" customWidth="1"/>
  </cols>
  <sheetData>
    <row r="1" spans="1:6" x14ac:dyDescent="0.45">
      <c r="A1">
        <v>769936</v>
      </c>
      <c r="B1">
        <v>1</v>
      </c>
      <c r="C1" t="s">
        <v>45</v>
      </c>
      <c r="D1">
        <v>1</v>
      </c>
    </row>
    <row r="2" spans="1:6" x14ac:dyDescent="0.45">
      <c r="A2">
        <v>769937</v>
      </c>
      <c r="B2">
        <v>2</v>
      </c>
      <c r="C2" t="s">
        <v>46</v>
      </c>
      <c r="D2">
        <v>13</v>
      </c>
    </row>
    <row r="3" spans="1:6" x14ac:dyDescent="0.45">
      <c r="A3">
        <v>769939</v>
      </c>
      <c r="B3">
        <v>3</v>
      </c>
      <c r="C3" t="s">
        <v>47</v>
      </c>
      <c r="D3">
        <v>25</v>
      </c>
    </row>
    <row r="4" spans="1:6" x14ac:dyDescent="0.45">
      <c r="A4">
        <v>769940</v>
      </c>
      <c r="B4">
        <v>4</v>
      </c>
      <c r="C4" t="s">
        <v>48</v>
      </c>
      <c r="D4">
        <v>1076</v>
      </c>
    </row>
    <row r="5" spans="1:6" x14ac:dyDescent="0.45">
      <c r="A5">
        <v>769941</v>
      </c>
      <c r="B5">
        <v>5</v>
      </c>
      <c r="C5" t="s">
        <v>49</v>
      </c>
      <c r="D5">
        <v>1077</v>
      </c>
    </row>
    <row r="6" spans="1:6" x14ac:dyDescent="0.45">
      <c r="A6">
        <v>769942</v>
      </c>
      <c r="B6">
        <v>6</v>
      </c>
      <c r="C6" t="s">
        <v>50</v>
      </c>
      <c r="D6">
        <v>1060</v>
      </c>
    </row>
    <row r="7" spans="1:6" x14ac:dyDescent="0.45">
      <c r="A7">
        <v>769943</v>
      </c>
      <c r="B7">
        <v>7</v>
      </c>
      <c r="C7" t="s">
        <v>51</v>
      </c>
      <c r="D7">
        <v>33</v>
      </c>
      <c r="E7" t="s">
        <v>134</v>
      </c>
    </row>
    <row r="8" spans="1:6" x14ac:dyDescent="0.45">
      <c r="A8">
        <v>769944</v>
      </c>
      <c r="B8">
        <v>8</v>
      </c>
      <c r="C8" t="s">
        <v>52</v>
      </c>
      <c r="D8">
        <v>1078</v>
      </c>
    </row>
    <row r="9" spans="1:6" x14ac:dyDescent="0.45">
      <c r="A9">
        <v>769945</v>
      </c>
      <c r="B9">
        <v>9</v>
      </c>
      <c r="C9" t="s">
        <v>53</v>
      </c>
      <c r="D9">
        <v>37</v>
      </c>
    </row>
    <row r="10" spans="1:6" x14ac:dyDescent="0.45">
      <c r="A10">
        <v>769946</v>
      </c>
      <c r="B10">
        <v>10</v>
      </c>
      <c r="C10" t="s">
        <v>54</v>
      </c>
    </row>
    <row r="11" spans="1:6" x14ac:dyDescent="0.45">
      <c r="A11">
        <v>769947</v>
      </c>
      <c r="B11">
        <v>11</v>
      </c>
      <c r="C11" t="s">
        <v>55</v>
      </c>
    </row>
    <row r="12" spans="1:6" x14ac:dyDescent="0.45">
      <c r="A12">
        <v>769948</v>
      </c>
      <c r="B12">
        <v>12</v>
      </c>
      <c r="C12" t="s">
        <v>56</v>
      </c>
      <c r="D12">
        <v>1054</v>
      </c>
    </row>
    <row r="13" spans="1:6" x14ac:dyDescent="0.45">
      <c r="A13">
        <v>769949</v>
      </c>
      <c r="B13">
        <v>13</v>
      </c>
      <c r="C13" t="s">
        <v>57</v>
      </c>
      <c r="D13">
        <v>47</v>
      </c>
      <c r="E13" t="s">
        <v>210</v>
      </c>
    </row>
    <row r="14" spans="1:6" x14ac:dyDescent="0.45">
      <c r="A14">
        <v>769950</v>
      </c>
      <c r="B14">
        <v>14</v>
      </c>
      <c r="C14" t="s">
        <v>58</v>
      </c>
      <c r="D14">
        <v>1095</v>
      </c>
    </row>
    <row r="15" spans="1:6" x14ac:dyDescent="0.45">
      <c r="A15">
        <v>769951</v>
      </c>
      <c r="B15">
        <v>15</v>
      </c>
      <c r="C15" t="s">
        <v>59</v>
      </c>
      <c r="D15">
        <v>44</v>
      </c>
      <c r="E15" t="s">
        <v>135</v>
      </c>
      <c r="F15" t="s">
        <v>162</v>
      </c>
    </row>
    <row r="16" spans="1:6" x14ac:dyDescent="0.45">
      <c r="A16">
        <v>769952</v>
      </c>
      <c r="B16">
        <v>16</v>
      </c>
      <c r="C16" t="s">
        <v>60</v>
      </c>
      <c r="D16">
        <v>1058</v>
      </c>
      <c r="E16" t="s">
        <v>136</v>
      </c>
      <c r="F16" t="s">
        <v>163</v>
      </c>
    </row>
    <row r="17" spans="1:5" x14ac:dyDescent="0.45">
      <c r="A17">
        <v>769953</v>
      </c>
      <c r="B17">
        <v>17</v>
      </c>
      <c r="C17" t="s">
        <v>61</v>
      </c>
      <c r="D17">
        <v>48</v>
      </c>
      <c r="E17" t="s">
        <v>137</v>
      </c>
    </row>
    <row r="18" spans="1:5" x14ac:dyDescent="0.45">
      <c r="A18">
        <v>769954</v>
      </c>
      <c r="B18">
        <v>18</v>
      </c>
      <c r="C18" t="s">
        <v>62</v>
      </c>
      <c r="D18">
        <v>49</v>
      </c>
      <c r="E18" t="s">
        <v>138</v>
      </c>
    </row>
    <row r="19" spans="1:5" x14ac:dyDescent="0.45">
      <c r="A19">
        <v>769955</v>
      </c>
      <c r="B19">
        <v>19</v>
      </c>
      <c r="C19" t="s">
        <v>63</v>
      </c>
      <c r="D19">
        <v>1056</v>
      </c>
      <c r="E19" t="s">
        <v>139</v>
      </c>
    </row>
    <row r="20" spans="1:5" x14ac:dyDescent="0.45">
      <c r="A20">
        <v>700</v>
      </c>
      <c r="B20">
        <v>999</v>
      </c>
      <c r="C20" s="5" t="s">
        <v>159</v>
      </c>
      <c r="D20">
        <v>44</v>
      </c>
      <c r="E20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CEA1-1CE1-4743-9EBE-57C3851E7690}">
  <dimension ref="A1:B15"/>
  <sheetViews>
    <sheetView workbookViewId="0">
      <selection activeCell="A15" sqref="A15:B15"/>
    </sheetView>
  </sheetViews>
  <sheetFormatPr defaultRowHeight="14.25" x14ac:dyDescent="0.45"/>
  <cols>
    <col min="1" max="1" width="15.265625" customWidth="1"/>
    <col min="2" max="2" width="24.265625" customWidth="1"/>
  </cols>
  <sheetData>
    <row r="1" spans="1:2" x14ac:dyDescent="0.45">
      <c r="A1">
        <v>68838</v>
      </c>
      <c r="B1" t="s">
        <v>20</v>
      </c>
    </row>
    <row r="2" spans="1:2" x14ac:dyDescent="0.45">
      <c r="A2">
        <v>39162</v>
      </c>
      <c r="B2" t="s">
        <v>9</v>
      </c>
    </row>
    <row r="3" spans="1:2" x14ac:dyDescent="0.45">
      <c r="A3">
        <v>36847</v>
      </c>
      <c r="B3" t="s">
        <v>13</v>
      </c>
    </row>
    <row r="4" spans="1:2" x14ac:dyDescent="0.45">
      <c r="A4">
        <v>44766</v>
      </c>
      <c r="B4" t="s">
        <v>66</v>
      </c>
    </row>
    <row r="5" spans="1:2" x14ac:dyDescent="0.45">
      <c r="A5">
        <v>40552</v>
      </c>
      <c r="B5" t="s">
        <v>1</v>
      </c>
    </row>
    <row r="6" spans="1:2" x14ac:dyDescent="0.45">
      <c r="A6">
        <v>39667</v>
      </c>
      <c r="B6" t="s">
        <v>44</v>
      </c>
    </row>
    <row r="7" spans="1:2" x14ac:dyDescent="0.45">
      <c r="A7">
        <v>24976</v>
      </c>
      <c r="B7" t="s">
        <v>43</v>
      </c>
    </row>
    <row r="8" spans="1:2" x14ac:dyDescent="0.45">
      <c r="A8">
        <v>65038</v>
      </c>
      <c r="B8" t="s">
        <v>6</v>
      </c>
    </row>
    <row r="9" spans="1:2" x14ac:dyDescent="0.45">
      <c r="A9">
        <v>95073</v>
      </c>
      <c r="B9" t="s">
        <v>133</v>
      </c>
    </row>
    <row r="10" spans="1:2" x14ac:dyDescent="0.45">
      <c r="A10">
        <v>49704</v>
      </c>
      <c r="B10" t="s">
        <v>108</v>
      </c>
    </row>
    <row r="11" spans="1:2" x14ac:dyDescent="0.45">
      <c r="A11">
        <v>180813</v>
      </c>
      <c r="B11" t="s">
        <v>109</v>
      </c>
    </row>
    <row r="12" spans="1:2" x14ac:dyDescent="0.45">
      <c r="A12">
        <v>65539</v>
      </c>
      <c r="B12" t="s">
        <v>110</v>
      </c>
    </row>
    <row r="13" spans="1:2" x14ac:dyDescent="0.45">
      <c r="A13">
        <v>34557</v>
      </c>
      <c r="B13" t="s">
        <v>111</v>
      </c>
    </row>
    <row r="14" spans="1:2" x14ac:dyDescent="0.45">
      <c r="A14">
        <v>96828</v>
      </c>
      <c r="B14" t="s">
        <v>22</v>
      </c>
    </row>
    <row r="15" spans="1:2" x14ac:dyDescent="0.45">
      <c r="A15">
        <v>57688</v>
      </c>
      <c r="B15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6F6B-AC62-438F-ADA1-73868A8D26DB}">
  <dimension ref="A1:B2"/>
  <sheetViews>
    <sheetView workbookViewId="0">
      <selection activeCell="B10" sqref="B10"/>
    </sheetView>
  </sheetViews>
  <sheetFormatPr defaultRowHeight="14.25" x14ac:dyDescent="0.45"/>
  <cols>
    <col min="1" max="1" width="24.1328125" customWidth="1"/>
    <col min="2" max="2" width="23.1328125" customWidth="1"/>
  </cols>
  <sheetData>
    <row r="1" spans="1:2" x14ac:dyDescent="0.45">
      <c r="A1">
        <v>0</v>
      </c>
      <c r="B1" t="s">
        <v>10</v>
      </c>
    </row>
    <row r="2" spans="1:2" x14ac:dyDescent="0.45">
      <c r="A2">
        <v>262992</v>
      </c>
      <c r="B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BA4F-C9F6-4C5B-8947-232726082284}">
  <dimension ref="A1:B21"/>
  <sheetViews>
    <sheetView workbookViewId="0">
      <selection activeCell="E38" sqref="E38"/>
    </sheetView>
  </sheetViews>
  <sheetFormatPr defaultRowHeight="14.25" x14ac:dyDescent="0.45"/>
  <cols>
    <col min="1" max="1" width="16.86328125" customWidth="1"/>
    <col min="2" max="2" width="24.1328125" customWidth="1"/>
  </cols>
  <sheetData>
    <row r="1" spans="1:2" x14ac:dyDescent="0.45">
      <c r="A1">
        <v>308300</v>
      </c>
      <c r="B1" t="s">
        <v>19</v>
      </c>
    </row>
    <row r="2" spans="1:2" x14ac:dyDescent="0.45">
      <c r="A2">
        <v>342703</v>
      </c>
      <c r="B2" t="s">
        <v>8</v>
      </c>
    </row>
    <row r="3" spans="1:2" x14ac:dyDescent="0.45">
      <c r="A3">
        <v>280330</v>
      </c>
      <c r="B3" t="s">
        <v>14</v>
      </c>
    </row>
    <row r="4" spans="1:2" x14ac:dyDescent="0.45">
      <c r="A4">
        <v>293254</v>
      </c>
      <c r="B4" t="s">
        <v>65</v>
      </c>
    </row>
    <row r="5" spans="1:2" x14ac:dyDescent="0.45">
      <c r="A5">
        <v>354215</v>
      </c>
      <c r="B5" t="s">
        <v>131</v>
      </c>
    </row>
    <row r="6" spans="1:2" x14ac:dyDescent="0.45">
      <c r="A6">
        <v>342894</v>
      </c>
      <c r="B6" t="s">
        <v>42</v>
      </c>
    </row>
    <row r="7" spans="1:2" x14ac:dyDescent="0.45">
      <c r="A7">
        <v>316201</v>
      </c>
      <c r="B7" t="s">
        <v>41</v>
      </c>
    </row>
    <row r="8" spans="1:2" x14ac:dyDescent="0.45">
      <c r="A8">
        <v>312598</v>
      </c>
      <c r="B8" t="s">
        <v>100</v>
      </c>
    </row>
    <row r="9" spans="1:2" x14ac:dyDescent="0.45">
      <c r="A9">
        <v>321025</v>
      </c>
      <c r="B9" t="s">
        <v>101</v>
      </c>
    </row>
    <row r="10" spans="1:2" x14ac:dyDescent="0.45">
      <c r="A10">
        <v>328352</v>
      </c>
      <c r="B10" t="s">
        <v>102</v>
      </c>
    </row>
    <row r="11" spans="1:2" x14ac:dyDescent="0.45">
      <c r="A11">
        <v>279357</v>
      </c>
      <c r="B11" t="s">
        <v>132</v>
      </c>
    </row>
    <row r="12" spans="1:2" x14ac:dyDescent="0.45">
      <c r="A12">
        <v>330385</v>
      </c>
      <c r="B12" t="s">
        <v>103</v>
      </c>
    </row>
    <row r="13" spans="1:2" x14ac:dyDescent="0.45">
      <c r="A13">
        <v>304761</v>
      </c>
      <c r="B13" t="s">
        <v>104</v>
      </c>
    </row>
    <row r="14" spans="1:2" x14ac:dyDescent="0.45">
      <c r="A14">
        <v>328098</v>
      </c>
      <c r="B14" t="s">
        <v>105</v>
      </c>
    </row>
    <row r="15" spans="1:2" x14ac:dyDescent="0.45">
      <c r="A15">
        <v>262992</v>
      </c>
      <c r="B15" t="s">
        <v>99</v>
      </c>
    </row>
    <row r="16" spans="1:2" x14ac:dyDescent="0.45">
      <c r="A16">
        <v>334748</v>
      </c>
      <c r="B16" t="s">
        <v>18</v>
      </c>
    </row>
    <row r="17" spans="1:2" x14ac:dyDescent="0.45">
      <c r="A17">
        <v>349212</v>
      </c>
      <c r="B17" t="s">
        <v>106</v>
      </c>
    </row>
    <row r="18" spans="1:2" x14ac:dyDescent="0.45">
      <c r="A18">
        <v>339009</v>
      </c>
      <c r="B18" t="s">
        <v>107</v>
      </c>
    </row>
    <row r="19" spans="1:2" x14ac:dyDescent="0.45">
      <c r="A19">
        <v>123</v>
      </c>
      <c r="B19" t="s">
        <v>161</v>
      </c>
    </row>
    <row r="20" spans="1:2" ht="15.4" x14ac:dyDescent="0.45">
      <c r="A20">
        <v>124</v>
      </c>
      <c r="B20" s="8" t="s">
        <v>165</v>
      </c>
    </row>
    <row r="21" spans="1:2" x14ac:dyDescent="0.45">
      <c r="A21">
        <v>125</v>
      </c>
      <c r="B21" t="s">
        <v>211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7C6F2-EC51-4670-8080-B1754AF093BC}">
  <dimension ref="A1:C7"/>
  <sheetViews>
    <sheetView workbookViewId="0">
      <selection activeCell="B10" sqref="B10"/>
    </sheetView>
  </sheetViews>
  <sheetFormatPr defaultRowHeight="14.25" x14ac:dyDescent="0.45"/>
  <cols>
    <col min="1" max="1" width="17.73046875" customWidth="1"/>
    <col min="2" max="2" width="33" customWidth="1"/>
  </cols>
  <sheetData>
    <row r="1" spans="1:3" x14ac:dyDescent="0.45">
      <c r="A1">
        <v>1330</v>
      </c>
      <c r="B1" t="s">
        <v>7</v>
      </c>
      <c r="C1" t="s">
        <v>3</v>
      </c>
    </row>
    <row r="2" spans="1:3" x14ac:dyDescent="0.45">
      <c r="A2">
        <v>233</v>
      </c>
      <c r="B2" t="s">
        <v>15</v>
      </c>
      <c r="C2" t="s">
        <v>3</v>
      </c>
    </row>
    <row r="3" spans="1:3" x14ac:dyDescent="0.45">
      <c r="A3">
        <v>223</v>
      </c>
      <c r="B3" t="s">
        <v>0</v>
      </c>
      <c r="C3" t="s">
        <v>3</v>
      </c>
    </row>
    <row r="4" spans="1:3" x14ac:dyDescent="0.45">
      <c r="A4">
        <v>869</v>
      </c>
      <c r="B4" t="s">
        <v>2</v>
      </c>
      <c r="C4" t="s">
        <v>3</v>
      </c>
    </row>
    <row r="5" spans="1:3" x14ac:dyDescent="0.45">
      <c r="A5">
        <v>986</v>
      </c>
      <c r="B5" t="s">
        <v>40</v>
      </c>
      <c r="C5" t="s">
        <v>3</v>
      </c>
    </row>
    <row r="6" spans="1:3" x14ac:dyDescent="0.45">
      <c r="A6">
        <v>1198</v>
      </c>
      <c r="B6" t="s">
        <v>130</v>
      </c>
      <c r="C6" t="s">
        <v>3</v>
      </c>
    </row>
    <row r="7" spans="1:3" x14ac:dyDescent="0.45">
      <c r="A7">
        <v>867</v>
      </c>
      <c r="B7" t="s">
        <v>98</v>
      </c>
      <c r="C7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52B9-B788-4BDE-A1B2-C618945E4F4F}">
  <dimension ref="A1:K114"/>
  <sheetViews>
    <sheetView tabSelected="1" topLeftCell="A3" workbookViewId="0">
      <selection activeCell="D17" sqref="D17"/>
    </sheetView>
  </sheetViews>
  <sheetFormatPr defaultRowHeight="14.25" x14ac:dyDescent="0.45"/>
  <cols>
    <col min="1" max="1" width="16" customWidth="1"/>
    <col min="2" max="2" width="24" customWidth="1"/>
    <col min="10" max="10" width="29.19921875" customWidth="1"/>
  </cols>
  <sheetData>
    <row r="1" spans="1:11" x14ac:dyDescent="0.45">
      <c r="A1">
        <v>51513</v>
      </c>
      <c r="B1" t="s">
        <v>4</v>
      </c>
      <c r="C1" t="s">
        <v>171</v>
      </c>
      <c r="I1" cm="1">
        <f t="array" ref="I1">IF(K1="Visa klasser",IFERROR(INDEX(ekipage!B:B,MATCH(1,(ekipage!N:N=A1)*(ISNUMBER(ekipage!P:P)=FALSE),0)),""),"")</f>
        <v>3</v>
      </c>
      <c r="J1" t="str" cm="1">
        <f t="array" ref="J1">IF(K1="Visa klasser",IFERROR(INDEX(ekipage!C:C, MATCH(1, (ekipage!N:N = A1) * (ISNUMBER(ekipage!P:P) = FALSE), 0)), "Ej individuell"),"Visar ej klasser")</f>
        <v>Individuell senior 3*</v>
      </c>
      <c r="K1" t="s">
        <v>170</v>
      </c>
    </row>
    <row r="2" spans="1:11" x14ac:dyDescent="0.45">
      <c r="A2">
        <v>99453</v>
      </c>
      <c r="B2" t="s">
        <v>12</v>
      </c>
      <c r="C2" t="s">
        <v>172</v>
      </c>
      <c r="I2" cm="1">
        <f t="array" ref="I2">IF(K2="Visa klasser",IFERROR(INDEX(ekipage!B:B,MATCH(1,(ekipage!N:N=A2)*(ISNUMBER(ekipage!P:P)=FALSE),0)),""),"")</f>
        <v>3</v>
      </c>
      <c r="J2" t="str" cm="1">
        <f t="array" ref="J2">IF(K2="Visa klasser",IFERROR(INDEX(ekipage!C:C, MATCH(1, (ekipage!N:N = A2) * (ISNUMBER(ekipage!P:P) = FALSE), 0)), "Ej individuell"),"Visar ej klasser")</f>
        <v>Individuell senior 3*</v>
      </c>
      <c r="K2" t="s">
        <v>170</v>
      </c>
    </row>
    <row r="3" spans="1:11" x14ac:dyDescent="0.45">
      <c r="A3">
        <v>101407</v>
      </c>
      <c r="B3" t="s">
        <v>70</v>
      </c>
      <c r="C3" t="s">
        <v>173</v>
      </c>
      <c r="I3" cm="1">
        <f t="array" ref="I3">IF(K3="Visa klasser",IFERROR(INDEX(ekipage!B:B,MATCH(1,(ekipage!N:N=A3)*(ISNUMBER(ekipage!P:P)=FALSE),0)),""),"")</f>
        <v>4</v>
      </c>
      <c r="J3" t="str" cm="1">
        <f t="array" ref="J3">IF(K3="Visa klasser",IFERROR(INDEX(ekipage!C:C, MATCH(1, (ekipage!N:N = A3) * (ISNUMBER(ekipage!P:P) = FALSE), 0)), "Ej individuell"),"Visar ej klasser")</f>
        <v>Individuell senior 2*</v>
      </c>
      <c r="K3" t="s">
        <v>170</v>
      </c>
    </row>
    <row r="4" spans="1:11" x14ac:dyDescent="0.45">
      <c r="A4">
        <v>106236</v>
      </c>
      <c r="B4" t="s">
        <v>126</v>
      </c>
      <c r="C4" t="s">
        <v>174</v>
      </c>
      <c r="I4" cm="1">
        <f t="array" ref="I4">IF(K4="Visa klasser",IFERROR(INDEX(ekipage!B:B,MATCH(1,(ekipage!N:N=A4)*(ISNUMBER(ekipage!P:P)=FALSE),0)),""),"")</f>
        <v>4</v>
      </c>
      <c r="J4" t="str" cm="1">
        <f t="array" ref="J4">IF(K4="Visa klasser",IFERROR(INDEX(ekipage!C:C, MATCH(1, (ekipage!N:N = A4) * (ISNUMBER(ekipage!P:P) = FALSE), 0)), "Ej individuell"),"Visar ej klasser")</f>
        <v>Individuell senior 2*</v>
      </c>
      <c r="K4" t="s">
        <v>170</v>
      </c>
    </row>
    <row r="5" spans="1:11" x14ac:dyDescent="0.45">
      <c r="A5">
        <v>119893</v>
      </c>
      <c r="B5" t="s">
        <v>71</v>
      </c>
      <c r="C5" t="s">
        <v>175</v>
      </c>
      <c r="I5" cm="1">
        <f t="array" ref="I5">IF(K5="Visa klasser",IFERROR(INDEX(ekipage!B:B,MATCH(1,(ekipage!N:N=A5)*(ISNUMBER(ekipage!P:P)=FALSE),0)),""),"")</f>
        <v>4</v>
      </c>
      <c r="J5" t="str" cm="1">
        <f t="array" ref="J5">IF(K5="Visa klasser",IFERROR(INDEX(ekipage!C:C, MATCH(1, (ekipage!N:N = A5) * (ISNUMBER(ekipage!P:P) = FALSE), 0)), "Ej individuell"),"Visar ej klasser")</f>
        <v>Individuell senior 2*</v>
      </c>
      <c r="K5" t="s">
        <v>170</v>
      </c>
    </row>
    <row r="6" spans="1:11" x14ac:dyDescent="0.45">
      <c r="A6">
        <v>124472</v>
      </c>
      <c r="B6" t="s">
        <v>72</v>
      </c>
      <c r="C6" t="s">
        <v>176</v>
      </c>
      <c r="I6" cm="1">
        <f t="array" ref="I6">IF(K6="Visa klasser",IFERROR(INDEX(ekipage!B:B,MATCH(1,(ekipage!N:N=A6)*(ISNUMBER(ekipage!P:P)=FALSE),0)),""),"")</f>
        <v>4</v>
      </c>
      <c r="J6" t="str" cm="1">
        <f t="array" ref="J6">IF(K6="Visa klasser",IFERROR(INDEX(ekipage!C:C, MATCH(1, (ekipage!N:N = A6) * (ISNUMBER(ekipage!P:P) = FALSE), 0)), "Ej individuell"),"Visar ej klasser")</f>
        <v>Individuell senior 2*</v>
      </c>
      <c r="K6" t="s">
        <v>170</v>
      </c>
    </row>
    <row r="7" spans="1:11" x14ac:dyDescent="0.45">
      <c r="A7">
        <v>160950</v>
      </c>
      <c r="B7" t="s">
        <v>73</v>
      </c>
      <c r="C7" t="s">
        <v>177</v>
      </c>
      <c r="I7" cm="1">
        <f t="array" ref="I7">IF(K7="Visa klasser",IFERROR(INDEX(ekipage!B:B,MATCH(1,(ekipage!N:N=A7)*(ISNUMBER(ekipage!P:P)=FALSE),0)),""),"")</f>
        <v>4</v>
      </c>
      <c r="J7" t="str" cm="1">
        <f t="array" ref="J7">IF(K7="Visa klasser",IFERROR(INDEX(ekipage!C:C, MATCH(1, (ekipage!N:N = A7) * (ISNUMBER(ekipage!P:P) = FALSE), 0)), "Ej individuell"),"Visar ej klasser")</f>
        <v>Individuell senior 2*</v>
      </c>
      <c r="K7" t="s">
        <v>170</v>
      </c>
    </row>
    <row r="8" spans="1:11" x14ac:dyDescent="0.45">
      <c r="A8">
        <v>134303</v>
      </c>
      <c r="B8" t="s">
        <v>24</v>
      </c>
      <c r="C8" t="s">
        <v>178</v>
      </c>
      <c r="I8" cm="1">
        <f t="array" ref="I8">IF(K8="Visa klasser",IFERROR(INDEX(ekipage!B:B,MATCH(1,(ekipage!N:N=A8)*(ISNUMBER(ekipage!P:P)=FALSE),0)),""),"")</f>
        <v>5</v>
      </c>
      <c r="J8" t="str" cm="1">
        <f t="array" ref="J8">IF(K8="Visa klasser",IFERROR(INDEX(ekipage!C:C, MATCH(1, (ekipage!N:N = A8) * (ISNUMBER(ekipage!P:P) = FALSE), 0)), "Ej individuell"),"Visar ej klasser")</f>
        <v>Individuell senior 1*</v>
      </c>
      <c r="K8" t="s">
        <v>170</v>
      </c>
    </row>
    <row r="9" spans="1:11" x14ac:dyDescent="0.45">
      <c r="A9">
        <v>97</v>
      </c>
      <c r="B9" t="s">
        <v>5</v>
      </c>
      <c r="I9" t="str" cm="1">
        <f t="array" ref="I9">IF(K9="Visa klasser",IFERROR(INDEX(ekipage!B:B,MATCH(1,(ekipage!N:N=A9)*(ISNUMBER(ekipage!P:P)=FALSE),0)),""),"")</f>
        <v/>
      </c>
      <c r="J9" t="str" cm="1">
        <f t="array" ref="J9">IF(K9="Visa klasser",IFERROR(INDEX(ekipage!C:C, MATCH(1, (ekipage!N:N = A9) * (ISNUMBER(ekipage!P:P) = FALSE), 0)), "Ej individuell"),"Visar ej klasser")</f>
        <v>Ej individuell</v>
      </c>
      <c r="K9" t="s">
        <v>170</v>
      </c>
    </row>
    <row r="10" spans="1:11" x14ac:dyDescent="0.45">
      <c r="A10">
        <v>98</v>
      </c>
      <c r="B10" t="s">
        <v>168</v>
      </c>
      <c r="C10" t="s">
        <v>181</v>
      </c>
      <c r="I10" cm="1">
        <f t="array" ref="I10">IF(K10="Visa klasser",IFERROR(INDEX(ekipage!B:B,MATCH(1,(ekipage!N:N=A10)*(ISNUMBER(ekipage!P:P)=FALSE),0)),""),"")</f>
        <v>7</v>
      </c>
      <c r="J10" t="str" cm="1">
        <f t="array" ref="J10">IF(K10="Visa klasser",IFERROR(INDEX(ekipage!C:C, MATCH(1, (ekipage!N:N = A10) * (ISNUMBER(ekipage!P:P) = FALSE), 0)), "Ej individuell"),"Visar ej klasser")</f>
        <v>Individuell junior 2*</v>
      </c>
      <c r="K10" t="s">
        <v>170</v>
      </c>
    </row>
    <row r="11" spans="1:11" x14ac:dyDescent="0.45">
      <c r="A11">
        <v>101580</v>
      </c>
      <c r="B11" t="s">
        <v>75</v>
      </c>
      <c r="C11" t="s">
        <v>182</v>
      </c>
      <c r="I11" cm="1">
        <f t="array" ref="I11">IF(K11="Visa klasser",IFERROR(INDEX(ekipage!B:B,MATCH(1,(ekipage!N:N=A11)*(ISNUMBER(ekipage!P:P)=FALSE),0)),""),"")</f>
        <v>7</v>
      </c>
      <c r="J11" t="str" cm="1">
        <f t="array" ref="J11">IF(K11="Visa klasser",IFERROR(INDEX(ekipage!C:C, MATCH(1, (ekipage!N:N = A11) * (ISNUMBER(ekipage!P:P) = FALSE), 0)), "Ej individuell"),"Visar ej klasser")</f>
        <v>Individuell junior 2*</v>
      </c>
      <c r="K11" t="s">
        <v>170</v>
      </c>
    </row>
    <row r="12" spans="1:11" x14ac:dyDescent="0.45">
      <c r="A12">
        <v>129688</v>
      </c>
      <c r="B12" t="s">
        <v>127</v>
      </c>
      <c r="I12" t="str" cm="1">
        <f t="array" ref="I12">IF(K12="Visa klasser",IFERROR(INDEX(ekipage!B:B,MATCH(1,(ekipage!N:N=A12)*(ISNUMBER(ekipage!P:P)=FALSE),0)),""),"")</f>
        <v/>
      </c>
      <c r="J12" t="str" cm="1">
        <f t="array" ref="J12">IF(K12="Visa klasser",IFERROR(INDEX(ekipage!C:C, MATCH(1, (ekipage!N:N = A12) * (ISNUMBER(ekipage!P:P) = FALSE), 0)), "Ej individuell"),"Visar ej klasser")</f>
        <v>Ej individuell</v>
      </c>
      <c r="K12" t="s">
        <v>170</v>
      </c>
    </row>
    <row r="13" spans="1:11" x14ac:dyDescent="0.45">
      <c r="A13">
        <v>134608</v>
      </c>
      <c r="B13" t="s">
        <v>128</v>
      </c>
      <c r="C13" t="s">
        <v>183</v>
      </c>
      <c r="I13" cm="1">
        <f t="array" ref="I13">IF(K13="Visa klasser",IFERROR(INDEX(ekipage!B:B,MATCH(1,(ekipage!N:N=A13)*(ISNUMBER(ekipage!P:P)=FALSE),0)),""),"")</f>
        <v>7</v>
      </c>
      <c r="J13" t="str" cm="1">
        <f t="array" ref="J13">IF(K13="Visa klasser",IFERROR(INDEX(ekipage!C:C, MATCH(1, (ekipage!N:N = A13) * (ISNUMBER(ekipage!P:P) = FALSE), 0)), "Ej individuell"),"Visar ej klasser")</f>
        <v>Individuell junior 2*</v>
      </c>
      <c r="K13" t="s">
        <v>170</v>
      </c>
    </row>
    <row r="14" spans="1:11" x14ac:dyDescent="0.45">
      <c r="A14">
        <v>145535</v>
      </c>
      <c r="B14" t="s">
        <v>77</v>
      </c>
      <c r="C14" t="s">
        <v>181</v>
      </c>
      <c r="I14" cm="1">
        <f t="array" ref="I14">IF(K14="Visa klasser",IFERROR(INDEX(ekipage!B:B,MATCH(1,(ekipage!N:N=A14)*(ISNUMBER(ekipage!P:P)=FALSE),0)),""),"")</f>
        <v>7</v>
      </c>
      <c r="J14" t="str" cm="1">
        <f t="array" ref="J14">IF(K14="Visa klasser",IFERROR(INDEX(ekipage!C:C, MATCH(1, (ekipage!N:N = A14) * (ISNUMBER(ekipage!P:P) = FALSE), 0)), "Ej individuell"),"Visar ej klasser")</f>
        <v>Individuell junior 2*</v>
      </c>
      <c r="K14" t="s">
        <v>170</v>
      </c>
    </row>
    <row r="15" spans="1:11" x14ac:dyDescent="0.45">
      <c r="A15">
        <v>155140</v>
      </c>
      <c r="B15" t="s">
        <v>16</v>
      </c>
      <c r="C15" t="s">
        <v>184</v>
      </c>
      <c r="I15" cm="1">
        <f t="array" ref="I15">IF(K15="Visa klasser",IFERROR(INDEX(ekipage!B:B,MATCH(1,(ekipage!N:N=A15)*(ISNUMBER(ekipage!P:P)=FALSE),0)),""),"")</f>
        <v>7</v>
      </c>
      <c r="J15" t="str" cm="1">
        <f t="array" ref="J15">IF(K15="Visa klasser",IFERROR(INDEX(ekipage!C:C, MATCH(1, (ekipage!N:N = A15) * (ISNUMBER(ekipage!P:P) = FALSE), 0)), "Ej individuell"),"Visar ej klasser")</f>
        <v>Individuell junior 2*</v>
      </c>
      <c r="K15" t="s">
        <v>170</v>
      </c>
    </row>
    <row r="16" spans="1:11" x14ac:dyDescent="0.45">
      <c r="A16">
        <v>155892</v>
      </c>
      <c r="B16" t="s">
        <v>74</v>
      </c>
      <c r="C16" t="s">
        <v>185</v>
      </c>
      <c r="I16" cm="1">
        <f t="array" ref="I16">IF(K16="Visa klasser",IFERROR(INDEX(ekipage!B:B,MATCH(1,(ekipage!N:N=A16)*(ISNUMBER(ekipage!P:P)=FALSE),0)),""),"")</f>
        <v>7</v>
      </c>
      <c r="J16" t="str" cm="1">
        <f t="array" ref="J16">IF(K16="Visa klasser",IFERROR(INDEX(ekipage!C:C, MATCH(1, (ekipage!N:N = A16) * (ISNUMBER(ekipage!P:P) = FALSE), 0)), "Ej individuell"),"Visar ej klasser")</f>
        <v>Individuell junior 2*</v>
      </c>
      <c r="K16" t="s">
        <v>170</v>
      </c>
    </row>
    <row r="17" spans="1:11" x14ac:dyDescent="0.45">
      <c r="A17">
        <v>155915</v>
      </c>
      <c r="B17" t="s">
        <v>11</v>
      </c>
      <c r="C17" t="s">
        <v>186</v>
      </c>
      <c r="I17" cm="1">
        <f t="array" ref="I17">IF(K17="Visa klasser",IFERROR(INDEX(ekipage!B:B,MATCH(1,(ekipage!N:N=A17)*(ISNUMBER(ekipage!P:P)=FALSE),0)),""),"")</f>
        <v>7</v>
      </c>
      <c r="J17" t="str" cm="1">
        <f t="array" ref="J17">IF(K17="Visa klasser",IFERROR(INDEX(ekipage!C:C, MATCH(1, (ekipage!N:N = A17) * (ISNUMBER(ekipage!P:P) = FALSE), 0)), "Ej individuell"),"Visar ej klasser")</f>
        <v>Individuell junior 2*</v>
      </c>
      <c r="K17" t="s">
        <v>170</v>
      </c>
    </row>
    <row r="18" spans="1:11" x14ac:dyDescent="0.45">
      <c r="A18">
        <v>163943</v>
      </c>
      <c r="B18" t="s">
        <v>76</v>
      </c>
      <c r="C18" t="s">
        <v>187</v>
      </c>
      <c r="I18" cm="1">
        <f t="array" ref="I18">IF(K18="Visa klasser",IFERROR(INDEX(ekipage!B:B,MATCH(1,(ekipage!N:N=A18)*(ISNUMBER(ekipage!P:P)=FALSE),0)),""),"")</f>
        <v>7</v>
      </c>
      <c r="J18" t="str" cm="1">
        <f t="array" ref="J18">IF(K18="Visa klasser",IFERROR(INDEX(ekipage!C:C, MATCH(1, (ekipage!N:N = A18) * (ISNUMBER(ekipage!P:P) = FALSE), 0)), "Ej individuell"),"Visar ej klasser")</f>
        <v>Individuell junior 2*</v>
      </c>
      <c r="K18" t="s">
        <v>170</v>
      </c>
    </row>
    <row r="19" spans="1:11" x14ac:dyDescent="0.45">
      <c r="A19">
        <v>155124</v>
      </c>
      <c r="B19" t="s">
        <v>79</v>
      </c>
      <c r="C19" t="s">
        <v>180</v>
      </c>
      <c r="I19" cm="1">
        <f t="array" ref="I19">IF(K19="Visa klasser",IFERROR(INDEX(ekipage!B:B,MATCH(1,(ekipage!N:N=A19)*(ISNUMBER(ekipage!P:P)=FALSE),0)),""),"")</f>
        <v>8</v>
      </c>
      <c r="J19" t="str" cm="1">
        <f t="array" ref="J19">IF(K19="Visa klasser",IFERROR(INDEX(ekipage!C:C, MATCH(1, (ekipage!N:N = A19) * (ISNUMBER(ekipage!P:P) = FALSE), 0)), "Ej individuell"),"Visar ej klasser")</f>
        <v>Individuell junior 1*</v>
      </c>
      <c r="K19" t="s">
        <v>170</v>
      </c>
    </row>
    <row r="20" spans="1:11" x14ac:dyDescent="0.45">
      <c r="A20">
        <v>200328</v>
      </c>
      <c r="B20" t="s">
        <v>23</v>
      </c>
      <c r="C20" t="s">
        <v>188</v>
      </c>
      <c r="I20" cm="1">
        <f t="array" ref="I20">IF(K20="Visa klasser",IFERROR(INDEX(ekipage!B:B,MATCH(1,(ekipage!N:N=A20)*(ISNUMBER(ekipage!P:P)=FALSE),0)),""),"")</f>
        <v>8</v>
      </c>
      <c r="J20" t="str" cm="1">
        <f t="array" ref="J20">IF(K20="Visa klasser",IFERROR(INDEX(ekipage!C:C, MATCH(1, (ekipage!N:N = A20) * (ISNUMBER(ekipage!P:P) = FALSE), 0)), "Ej individuell"),"Visar ej klasser")</f>
        <v>Individuell junior 1*</v>
      </c>
      <c r="K20" t="s">
        <v>170</v>
      </c>
    </row>
    <row r="21" spans="1:11" x14ac:dyDescent="0.45">
      <c r="A21">
        <v>178209</v>
      </c>
      <c r="B21" t="s">
        <v>129</v>
      </c>
      <c r="I21" t="str" cm="1">
        <f t="array" ref="I21">IF(K21="Visa klasser",IFERROR(INDEX(ekipage!B:B,MATCH(1,(ekipage!N:N=A21)*(ISNUMBER(ekipage!P:P)=FALSE),0)),""),"")</f>
        <v/>
      </c>
      <c r="J21" t="str" cm="1">
        <f t="array" ref="J21">IF(K21="Visa klasser",IFERROR(INDEX(ekipage!C:C, MATCH(1, (ekipage!N:N = A21) * (ISNUMBER(ekipage!P:P) = FALSE), 0)), "Ej individuell"),"Visar ej klasser")</f>
        <v>Ej individuell</v>
      </c>
      <c r="K21" t="s">
        <v>170</v>
      </c>
    </row>
    <row r="22" spans="1:11" x14ac:dyDescent="0.45">
      <c r="A22">
        <v>190842</v>
      </c>
      <c r="B22" t="s">
        <v>36</v>
      </c>
      <c r="C22" t="s">
        <v>179</v>
      </c>
      <c r="I22" cm="1">
        <f t="array" ref="I22">IF(K22="Visa klasser",IFERROR(INDEX(ekipage!B:B,MATCH(1,(ekipage!N:N=A22)*(ISNUMBER(ekipage!P:P)=FALSE),0)),""),"")</f>
        <v>9</v>
      </c>
      <c r="J22" t="str" cm="1">
        <f t="array" ref="J22">IF(K22="Visa klasser",IFERROR(INDEX(ekipage!C:C, MATCH(1, (ekipage!N:N = A22) * (ISNUMBER(ekipage!P:P) = FALSE), 0)), "Ej individuell"),"Visar ej klasser")</f>
        <v>Individuell minior 1*</v>
      </c>
      <c r="K22" t="s">
        <v>170</v>
      </c>
    </row>
    <row r="23" spans="1:11" x14ac:dyDescent="0.45">
      <c r="A23">
        <v>29744</v>
      </c>
      <c r="B23" t="s">
        <v>95</v>
      </c>
      <c r="C23" t="s">
        <v>190</v>
      </c>
      <c r="I23" cm="1">
        <f t="array" ref="I23">IF(K23="Visa klasser",IFERROR(INDEX(ekipage!B:B,MATCH(1,(ekipage!N:N=A23)*(ISNUMBER(ekipage!P:P)=FALSE),0)),""),"")</f>
        <v>17</v>
      </c>
      <c r="J23" t="str" cm="1">
        <f t="array" ref="J23">IF(K23="Visa klasser",IFERROR(INDEX(ekipage!C:C, MATCH(1, (ekipage!N:N = A23) * (ISNUMBER(ekipage!P:P) = FALSE), 0)), "Ej individuell"),"Visar ej klasser")</f>
        <v>Lättklass, Individuell</v>
      </c>
      <c r="K23" t="s">
        <v>170</v>
      </c>
    </row>
    <row r="24" spans="1:11" x14ac:dyDescent="0.45">
      <c r="A24">
        <v>163633</v>
      </c>
      <c r="B24" t="s">
        <v>35</v>
      </c>
      <c r="C24" t="s">
        <v>191</v>
      </c>
      <c r="I24" cm="1">
        <f t="array" ref="I24">IF(K24="Visa klasser",IFERROR(INDEX(ekipage!B:B,MATCH(1,(ekipage!N:N=A24)*(ISNUMBER(ekipage!P:P)=FALSE),0)),""),"")</f>
        <v>17</v>
      </c>
      <c r="J24" t="str" cm="1">
        <f t="array" ref="J24">IF(K24="Visa klasser",IFERROR(INDEX(ekipage!C:C, MATCH(1, (ekipage!N:N = A24) * (ISNUMBER(ekipage!P:P) = FALSE), 0)), "Ej individuell"),"Visar ej klasser")</f>
        <v>Lättklass, Individuell</v>
      </c>
      <c r="K24" t="s">
        <v>170</v>
      </c>
    </row>
    <row r="25" spans="1:11" x14ac:dyDescent="0.45">
      <c r="A25">
        <v>169428</v>
      </c>
      <c r="B25" t="s">
        <v>37</v>
      </c>
      <c r="C25" t="s">
        <v>192</v>
      </c>
      <c r="I25" cm="1">
        <f t="array" ref="I25">IF(K25="Visa klasser",IFERROR(INDEX(ekipage!B:B,MATCH(1,(ekipage!N:N=A25)*(ISNUMBER(ekipage!P:P)=FALSE),0)),""),"")</f>
        <v>17</v>
      </c>
      <c r="J25" t="str" cm="1">
        <f t="array" ref="J25">IF(K25="Visa klasser",IFERROR(INDEX(ekipage!C:C, MATCH(1, (ekipage!N:N = A25) * (ISNUMBER(ekipage!P:P) = FALSE), 0)), "Ej individuell"),"Visar ej klasser")</f>
        <v>Lättklass, Individuell</v>
      </c>
      <c r="K25" t="s">
        <v>170</v>
      </c>
    </row>
    <row r="26" spans="1:11" x14ac:dyDescent="0.45">
      <c r="A26">
        <v>181877</v>
      </c>
      <c r="B26" t="s">
        <v>82</v>
      </c>
      <c r="C26" t="s">
        <v>193</v>
      </c>
      <c r="I26" cm="1">
        <f t="array" ref="I26">IF(K26="Visa klasser",IFERROR(INDEX(ekipage!B:B,MATCH(1,(ekipage!N:N=A26)*(ISNUMBER(ekipage!P:P)=FALSE),0)),""),"")</f>
        <v>17</v>
      </c>
      <c r="J26" t="str" cm="1">
        <f t="array" ref="J26">IF(K26="Visa klasser",IFERROR(INDEX(ekipage!C:C, MATCH(1, (ekipage!N:N = A26) * (ISNUMBER(ekipage!P:P) = FALSE), 0)), "Ej individuell"),"Visar ej klasser")</f>
        <v>Lättklass, Individuell</v>
      </c>
      <c r="K26" t="s">
        <v>170</v>
      </c>
    </row>
    <row r="27" spans="1:11" x14ac:dyDescent="0.45">
      <c r="A27">
        <v>186749</v>
      </c>
      <c r="B27" t="s">
        <v>38</v>
      </c>
      <c r="C27" t="s">
        <v>194</v>
      </c>
      <c r="I27" cm="1">
        <f t="array" ref="I27">IF(K27="Visa klasser",IFERROR(INDEX(ekipage!B:B,MATCH(1,(ekipage!N:N=A27)*(ISNUMBER(ekipage!P:P)=FALSE),0)),""),"")</f>
        <v>17</v>
      </c>
      <c r="J27" t="str" cm="1">
        <f t="array" ref="J27">IF(K27="Visa klasser",IFERROR(INDEX(ekipage!C:C, MATCH(1, (ekipage!N:N = A27) * (ISNUMBER(ekipage!P:P) = FALSE), 0)), "Ej individuell"),"Visar ej klasser")</f>
        <v>Lättklass, Individuell</v>
      </c>
      <c r="K27" t="s">
        <v>170</v>
      </c>
    </row>
    <row r="28" spans="1:11" x14ac:dyDescent="0.45">
      <c r="A28">
        <v>195019</v>
      </c>
      <c r="B28" t="s">
        <v>94</v>
      </c>
      <c r="C28" t="s">
        <v>195</v>
      </c>
      <c r="I28" cm="1">
        <f t="array" ref="I28">IF(K28="Visa klasser",IFERROR(INDEX(ekipage!B:B,MATCH(1,(ekipage!N:N=A28)*(ISNUMBER(ekipage!P:P)=FALSE),0)),""),"")</f>
        <v>17</v>
      </c>
      <c r="J28" t="str" cm="1">
        <f t="array" ref="J28">IF(K28="Visa klasser",IFERROR(INDEX(ekipage!C:C, MATCH(1, (ekipage!N:N = A28) * (ISNUMBER(ekipage!P:P) = FALSE), 0)), "Ej individuell"),"Visar ej klasser")</f>
        <v>Lättklass, Individuell</v>
      </c>
      <c r="K28" t="s">
        <v>170</v>
      </c>
    </row>
    <row r="29" spans="1:11" x14ac:dyDescent="0.45">
      <c r="A29">
        <v>195035</v>
      </c>
      <c r="B29" t="s">
        <v>93</v>
      </c>
      <c r="C29" t="s">
        <v>196</v>
      </c>
      <c r="I29" cm="1">
        <f t="array" ref="I29">IF(K29="Visa klasser",IFERROR(INDEX(ekipage!B:B,MATCH(1,(ekipage!N:N=A29)*(ISNUMBER(ekipage!P:P)=FALSE),0)),""),"")</f>
        <v>17</v>
      </c>
      <c r="J29" t="str" cm="1">
        <f t="array" ref="J29">IF(K29="Visa klasser",IFERROR(INDEX(ekipage!C:C, MATCH(1, (ekipage!N:N = A29) * (ISNUMBER(ekipage!P:P) = FALSE), 0)), "Ej individuell"),"Visar ej klasser")</f>
        <v>Lättklass, Individuell</v>
      </c>
      <c r="K29" t="s">
        <v>170</v>
      </c>
    </row>
    <row r="30" spans="1:11" x14ac:dyDescent="0.45">
      <c r="A30">
        <v>206243</v>
      </c>
      <c r="B30" t="s">
        <v>96</v>
      </c>
      <c r="C30" t="s">
        <v>197</v>
      </c>
      <c r="I30" cm="1">
        <f t="array" ref="I30">IF(K30="Visa klasser",IFERROR(INDEX(ekipage!B:B,MATCH(1,(ekipage!N:N=A30)*(ISNUMBER(ekipage!P:P)=FALSE),0)),""),"")</f>
        <v>17</v>
      </c>
      <c r="J30" t="str" cm="1">
        <f t="array" ref="J30">IF(K30="Visa klasser",IFERROR(INDEX(ekipage!C:C, MATCH(1, (ekipage!N:N = A30) * (ISNUMBER(ekipage!P:P) = FALSE), 0)), "Ej individuell"),"Visar ej klasser")</f>
        <v>Lättklass, Individuell</v>
      </c>
      <c r="K30" t="s">
        <v>170</v>
      </c>
    </row>
    <row r="31" spans="1:11" x14ac:dyDescent="0.45">
      <c r="A31">
        <v>186646</v>
      </c>
      <c r="B31" t="s">
        <v>33</v>
      </c>
      <c r="C31" t="s">
        <v>198</v>
      </c>
      <c r="I31" cm="1">
        <f t="array" ref="I31">IF(K31="Visa klasser",IFERROR(INDEX(ekipage!B:B,MATCH(1,(ekipage!N:N=A31)*(ISNUMBER(ekipage!P:P)=FALSE),0)),""),"")</f>
        <v>18</v>
      </c>
      <c r="J31" t="str" cm="1">
        <f t="array" ref="J31">IF(K31="Visa klasser",IFERROR(INDEX(ekipage!C:C, MATCH(1, (ekipage!N:N = A31) * (ISNUMBER(ekipage!P:P) = FALSE), 0)), "Ej individuell"),"Visar ej klasser")</f>
        <v>Skrittklass, individuell</v>
      </c>
      <c r="K31" t="s">
        <v>170</v>
      </c>
    </row>
    <row r="32" spans="1:11" x14ac:dyDescent="0.45">
      <c r="A32">
        <v>186751</v>
      </c>
      <c r="B32" t="s">
        <v>5</v>
      </c>
      <c r="C32" t="s">
        <v>199</v>
      </c>
      <c r="I32" cm="1">
        <f t="array" ref="I32">IF(K32="Visa klasser",IFERROR(INDEX(ekipage!B:B,MATCH(1,(ekipage!N:N=A32)*(ISNUMBER(ekipage!P:P)=FALSE),0)),""),"")</f>
        <v>18</v>
      </c>
      <c r="J32" t="str" cm="1">
        <f t="array" ref="J32">IF(K32="Visa klasser",IFERROR(INDEX(ekipage!C:C, MATCH(1, (ekipage!N:N = A32) * (ISNUMBER(ekipage!P:P) = FALSE), 0)), "Ej individuell"),"Visar ej klasser")</f>
        <v>Skrittklass, individuell</v>
      </c>
      <c r="K32" t="s">
        <v>170</v>
      </c>
    </row>
    <row r="33" spans="1:11" x14ac:dyDescent="0.45">
      <c r="A33">
        <v>186781</v>
      </c>
      <c r="B33" t="s">
        <v>34</v>
      </c>
      <c r="C33" t="s">
        <v>200</v>
      </c>
      <c r="I33" cm="1">
        <f t="array" ref="I33">IF(K33="Visa klasser",IFERROR(INDEX(ekipage!B:B,MATCH(1,(ekipage!N:N=A33)*(ISNUMBER(ekipage!P:P)=FALSE),0)),""),"")</f>
        <v>18</v>
      </c>
      <c r="J33" t="str" cm="1">
        <f t="array" ref="J33">IF(K33="Visa klasser",IFERROR(INDEX(ekipage!C:C, MATCH(1, (ekipage!N:N = A33) * (ISNUMBER(ekipage!P:P) = FALSE), 0)), "Ej individuell"),"Visar ej klasser")</f>
        <v>Skrittklass, individuell</v>
      </c>
      <c r="K33" t="s">
        <v>170</v>
      </c>
    </row>
    <row r="34" spans="1:11" x14ac:dyDescent="0.45">
      <c r="A34">
        <v>194941</v>
      </c>
      <c r="B34" t="s">
        <v>27</v>
      </c>
      <c r="C34" t="s">
        <v>201</v>
      </c>
      <c r="I34" cm="1">
        <f t="array" ref="I34">IF(K34="Visa klasser",IFERROR(INDEX(ekipage!B:B,MATCH(1,(ekipage!N:N=A34)*(ISNUMBER(ekipage!P:P)=FALSE),0)),""),"")</f>
        <v>18</v>
      </c>
      <c r="J34" t="str" cm="1">
        <f t="array" ref="J34">IF(K34="Visa klasser",IFERROR(INDEX(ekipage!C:C, MATCH(1, (ekipage!N:N = A34) * (ISNUMBER(ekipage!P:P) = FALSE), 0)), "Ej individuell"),"Visar ej klasser")</f>
        <v>Skrittklass, individuell</v>
      </c>
      <c r="K34" t="s">
        <v>170</v>
      </c>
    </row>
    <row r="35" spans="1:11" x14ac:dyDescent="0.45">
      <c r="A35">
        <v>194944</v>
      </c>
      <c r="B35" t="s">
        <v>31</v>
      </c>
      <c r="C35" t="s">
        <v>202</v>
      </c>
      <c r="I35" cm="1">
        <f t="array" ref="I35">IF(K35="Visa klasser",IFERROR(INDEX(ekipage!B:B,MATCH(1,(ekipage!N:N=A35)*(ISNUMBER(ekipage!P:P)=FALSE),0)),""),"")</f>
        <v>18</v>
      </c>
      <c r="J35" t="str" cm="1">
        <f t="array" ref="J35">IF(K35="Visa klasser",IFERROR(INDEX(ekipage!C:C, MATCH(1, (ekipage!N:N = A35) * (ISNUMBER(ekipage!P:P) = FALSE), 0)), "Ej individuell"),"Visar ej klasser")</f>
        <v>Skrittklass, individuell</v>
      </c>
      <c r="K35" t="s">
        <v>170</v>
      </c>
    </row>
    <row r="36" spans="1:11" x14ac:dyDescent="0.45">
      <c r="A36">
        <v>195002</v>
      </c>
      <c r="B36" t="s">
        <v>30</v>
      </c>
      <c r="C36" t="s">
        <v>203</v>
      </c>
      <c r="I36" cm="1">
        <f t="array" ref="I36">IF(K36="Visa klasser",IFERROR(INDEX(ekipage!B:B,MATCH(1,(ekipage!N:N=A36)*(ISNUMBER(ekipage!P:P)=FALSE),0)),""),"")</f>
        <v>18</v>
      </c>
      <c r="J36" t="str" cm="1">
        <f t="array" ref="J36">IF(K36="Visa klasser",IFERROR(INDEX(ekipage!C:C, MATCH(1, (ekipage!N:N = A36) * (ISNUMBER(ekipage!P:P) = FALSE), 0)), "Ej individuell"),"Visar ej klasser")</f>
        <v>Skrittklass, individuell</v>
      </c>
      <c r="K36" t="s">
        <v>170</v>
      </c>
    </row>
    <row r="37" spans="1:11" x14ac:dyDescent="0.45">
      <c r="A37">
        <v>195003</v>
      </c>
      <c r="B37" t="s">
        <v>28</v>
      </c>
      <c r="C37" t="s">
        <v>204</v>
      </c>
      <c r="I37" cm="1">
        <f t="array" ref="I37">IF(K37="Visa klasser",IFERROR(INDEX(ekipage!B:B,MATCH(1,(ekipage!N:N=A37)*(ISNUMBER(ekipage!P:P)=FALSE),0)),""),"")</f>
        <v>18</v>
      </c>
      <c r="J37" t="str" cm="1">
        <f t="array" ref="J37">IF(K37="Visa klasser",IFERROR(INDEX(ekipage!C:C, MATCH(1, (ekipage!N:N = A37) * (ISNUMBER(ekipage!P:P) = FALSE), 0)), "Ej individuell"),"Visar ej klasser")</f>
        <v>Skrittklass, individuell</v>
      </c>
      <c r="K37" t="s">
        <v>170</v>
      </c>
    </row>
    <row r="38" spans="1:11" x14ac:dyDescent="0.45">
      <c r="A38">
        <v>195012</v>
      </c>
      <c r="B38" t="s">
        <v>32</v>
      </c>
      <c r="C38" t="s">
        <v>205</v>
      </c>
      <c r="I38" cm="1">
        <f t="array" ref="I38">IF(K38="Visa klasser",IFERROR(INDEX(ekipage!B:B,MATCH(1,(ekipage!N:N=A38)*(ISNUMBER(ekipage!P:P)=FALSE),0)),""),"")</f>
        <v>18</v>
      </c>
      <c r="J38" t="str" cm="1">
        <f t="array" ref="J38">IF(K38="Visa klasser",IFERROR(INDEX(ekipage!C:C, MATCH(1, (ekipage!N:N = A38) * (ISNUMBER(ekipage!P:P) = FALSE), 0)), "Ej individuell"),"Visar ej klasser")</f>
        <v>Skrittklass, individuell</v>
      </c>
      <c r="K38" t="s">
        <v>170</v>
      </c>
    </row>
    <row r="39" spans="1:11" x14ac:dyDescent="0.45">
      <c r="A39">
        <v>195029</v>
      </c>
      <c r="B39" t="s">
        <v>26</v>
      </c>
      <c r="C39" t="s">
        <v>206</v>
      </c>
      <c r="I39" cm="1">
        <f t="array" ref="I39">IF(K39="Visa klasser",IFERROR(INDEX(ekipage!B:B,MATCH(1,(ekipage!N:N=A39)*(ISNUMBER(ekipage!P:P)=FALSE),0)),""),"")</f>
        <v>18</v>
      </c>
      <c r="J39" t="str" cm="1">
        <f t="array" ref="J39">IF(K39="Visa klasser",IFERROR(INDEX(ekipage!C:C, MATCH(1, (ekipage!N:N = A39) * (ISNUMBER(ekipage!P:P) = FALSE), 0)), "Ej individuell"),"Visar ej klasser")</f>
        <v>Skrittklass, individuell</v>
      </c>
      <c r="K39" t="s">
        <v>170</v>
      </c>
    </row>
    <row r="40" spans="1:11" x14ac:dyDescent="0.45">
      <c r="A40">
        <v>202327</v>
      </c>
      <c r="B40" t="s">
        <v>25</v>
      </c>
      <c r="C40" t="s">
        <v>189</v>
      </c>
      <c r="I40" cm="1">
        <f t="array" ref="I40">IF(K40="Visa klasser",IFERROR(INDEX(ekipage!B:B,MATCH(1,(ekipage!N:N=A40)*(ISNUMBER(ekipage!P:P)=FALSE),0)),""),"")</f>
        <v>18</v>
      </c>
      <c r="J40" t="str" cm="1">
        <f t="array" ref="J40">IF(K40="Visa klasser",IFERROR(INDEX(ekipage!C:C, MATCH(1, (ekipage!N:N = A40) * (ISNUMBER(ekipage!P:P) = FALSE), 0)), "Ej individuell"),"Visar ej klasser")</f>
        <v>Skrittklass, individuell</v>
      </c>
      <c r="K40" t="s">
        <v>170</v>
      </c>
    </row>
    <row r="41" spans="1:11" x14ac:dyDescent="0.45">
      <c r="A41">
        <v>202342</v>
      </c>
      <c r="B41" t="s">
        <v>86</v>
      </c>
      <c r="C41" t="s">
        <v>207</v>
      </c>
      <c r="I41" cm="1">
        <f t="array" ref="I41">IF(K41="Visa klasser",IFERROR(INDEX(ekipage!B:B,MATCH(1,(ekipage!N:N=A41)*(ISNUMBER(ekipage!P:P)=FALSE),0)),""),"")</f>
        <v>18</v>
      </c>
      <c r="J41" t="str" cm="1">
        <f t="array" ref="J41">IF(K41="Visa klasser",IFERROR(INDEX(ekipage!C:C, MATCH(1, (ekipage!N:N = A41) * (ISNUMBER(ekipage!P:P) = FALSE), 0)), "Ej individuell"),"Visar ej klasser")</f>
        <v>Skrittklass, individuell</v>
      </c>
      <c r="K41" t="s">
        <v>170</v>
      </c>
    </row>
    <row r="42" spans="1:11" x14ac:dyDescent="0.45">
      <c r="A42">
        <v>202520</v>
      </c>
      <c r="B42" t="s">
        <v>29</v>
      </c>
      <c r="C42" t="s">
        <v>208</v>
      </c>
      <c r="I42" cm="1">
        <f t="array" ref="I42">IF(K42="Visa klasser",IFERROR(INDEX(ekipage!B:B,MATCH(1,(ekipage!N:N=A42)*(ISNUMBER(ekipage!P:P)=FALSE),0)),""),"")</f>
        <v>18</v>
      </c>
      <c r="J42" t="str" cm="1">
        <f t="array" ref="J42">IF(K42="Visa klasser",IFERROR(INDEX(ekipage!C:C, MATCH(1, (ekipage!N:N = A42) * (ISNUMBER(ekipage!P:P) = FALSE), 0)), "Ej individuell"),"Visar ej klasser")</f>
        <v>Skrittklass, individuell</v>
      </c>
      <c r="K42" t="s">
        <v>170</v>
      </c>
    </row>
    <row r="43" spans="1:11" x14ac:dyDescent="0.45">
      <c r="A43">
        <v>205893</v>
      </c>
      <c r="B43" t="s">
        <v>87</v>
      </c>
      <c r="C43" t="s">
        <v>209</v>
      </c>
      <c r="I43" cm="1">
        <f t="array" ref="I43">IF(K43="Visa klasser",IFERROR(INDEX(ekipage!B:B,MATCH(1,(ekipage!N:N=A43)*(ISNUMBER(ekipage!P:P)=FALSE),0)),""),"")</f>
        <v>18</v>
      </c>
      <c r="J43" t="str" cm="1">
        <f t="array" ref="J43">IF(K43="Visa klasser",IFERROR(INDEX(ekipage!C:C, MATCH(1, (ekipage!N:N = A43) * (ISNUMBER(ekipage!P:P) = FALSE), 0)), "Ej individuell"),"Visar ej klasser")</f>
        <v>Skrittklass, individuell</v>
      </c>
      <c r="K43" t="s">
        <v>170</v>
      </c>
    </row>
    <row r="44" spans="1:11" x14ac:dyDescent="0.45">
      <c r="A44">
        <v>90</v>
      </c>
      <c r="B44" t="s">
        <v>148</v>
      </c>
      <c r="I44" t="str" cm="1">
        <f t="array" ref="I44">IF(K44="Visa klasser",IFERROR(INDEX(ekipage!B:B,MATCH(1,(ekipage!N:N=A44)*(ISNUMBER(ekipage!P:P)=FALSE),0)),""),"")</f>
        <v/>
      </c>
      <c r="J44" t="str" cm="1">
        <f t="array" ref="J44">IF(K44="Visa klasser",IFERROR(INDEX(ekipage!C:C, MATCH(1, (ekipage!N:N = A44) * (ISNUMBER(ekipage!P:P) = FALSE), 0)), "Ej individuell"),"Visar ej klasser")</f>
        <v>Ej individuell</v>
      </c>
      <c r="K44" t="s">
        <v>170</v>
      </c>
    </row>
    <row r="45" spans="1:11" x14ac:dyDescent="0.45">
      <c r="A45">
        <v>91</v>
      </c>
      <c r="B45" t="s">
        <v>149</v>
      </c>
      <c r="I45" t="str" cm="1">
        <f t="array" ref="I45">IF(K45="Visa klasser",IFERROR(INDEX(ekipage!B:B,MATCH(1,(ekipage!N:N=A45)*(ISNUMBER(ekipage!P:P)=FALSE),0)),""),"")</f>
        <v/>
      </c>
      <c r="J45" t="str" cm="1">
        <f t="array" ref="J45">IF(K45="Visa klasser",IFERROR(INDEX(ekipage!C:C, MATCH(1, (ekipage!N:N = A45) * (ISNUMBER(ekipage!P:P) = FALSE), 0)), "Ej individuell"),"Visar ej klasser")</f>
        <v>Ej individuell</v>
      </c>
      <c r="K45" t="s">
        <v>170</v>
      </c>
    </row>
    <row r="46" spans="1:11" x14ac:dyDescent="0.45">
      <c r="A46">
        <v>92</v>
      </c>
      <c r="B46" t="s">
        <v>150</v>
      </c>
      <c r="I46" t="str" cm="1">
        <f t="array" ref="I46">IF(K46="Visa klasser",IFERROR(INDEX(ekipage!B:B,MATCH(1,(ekipage!N:N=A46)*(ISNUMBER(ekipage!P:P)=FALSE),0)),""),"")</f>
        <v/>
      </c>
      <c r="J46" t="str" cm="1">
        <f t="array" ref="J46">IF(K46="Visa klasser",IFERROR(INDEX(ekipage!C:C, MATCH(1, (ekipage!N:N = A46) * (ISNUMBER(ekipage!P:P) = FALSE), 0)), "Ej individuell"),"Visar ej klasser")</f>
        <v>Ej individuell</v>
      </c>
      <c r="K46" t="s">
        <v>170</v>
      </c>
    </row>
    <row r="47" spans="1:11" x14ac:dyDescent="0.45">
      <c r="A47">
        <v>93</v>
      </c>
      <c r="B47" t="s">
        <v>151</v>
      </c>
      <c r="I47" t="str" cm="1">
        <f t="array" ref="I47">IF(K47="Visa klasser",IFERROR(INDEX(ekipage!B:B,MATCH(1,(ekipage!N:N=A47)*(ISNUMBER(ekipage!P:P)=FALSE),0)),""),"")</f>
        <v/>
      </c>
      <c r="J47" t="str" cm="1">
        <f t="array" ref="J47">IF(K47="Visa klasser",IFERROR(INDEX(ekipage!C:C, MATCH(1, (ekipage!N:N = A47) * (ISNUMBER(ekipage!P:P) = FALSE), 0)), "Ej individuell"),"Visar ej klasser")</f>
        <v>Ej individuell</v>
      </c>
      <c r="K47" t="s">
        <v>170</v>
      </c>
    </row>
    <row r="48" spans="1:11" x14ac:dyDescent="0.45">
      <c r="A48">
        <v>94</v>
      </c>
      <c r="B48" t="s">
        <v>152</v>
      </c>
      <c r="I48" t="str" cm="1">
        <f t="array" ref="I48">IF(K48="Visa klasser",IFERROR(INDEX(ekipage!B:B,MATCH(1,(ekipage!N:N=A48)*(ISNUMBER(ekipage!P:P)=FALSE),0)),""),"")</f>
        <v/>
      </c>
      <c r="J48" t="str" cm="1">
        <f t="array" ref="J48">IF(K48="Visa klasser",IFERROR(INDEX(ekipage!C:C, MATCH(1, (ekipage!N:N = A48) * (ISNUMBER(ekipage!P:P) = FALSE), 0)), "Ej individuell"),"Visar ej klasser")</f>
        <v>Ej individuell</v>
      </c>
      <c r="K48" t="s">
        <v>170</v>
      </c>
    </row>
    <row r="49" spans="1:11" x14ac:dyDescent="0.45">
      <c r="A49">
        <v>95</v>
      </c>
      <c r="B49" t="s">
        <v>153</v>
      </c>
      <c r="I49" t="str" cm="1">
        <f t="array" ref="I49">IF(K49="Visa klasser",IFERROR(INDEX(ekipage!B:B,MATCH(1,(ekipage!N:N=A49)*(ISNUMBER(ekipage!P:P)=FALSE),0)),""),"")</f>
        <v/>
      </c>
      <c r="J49" t="str" cm="1">
        <f t="array" ref="J49">IF(K49="Visa klasser",IFERROR(INDEX(ekipage!C:C, MATCH(1, (ekipage!N:N = A49) * (ISNUMBER(ekipage!P:P) = FALSE), 0)), "Ej individuell"),"Visar ej klasser")</f>
        <v>Ej individuell</v>
      </c>
      <c r="K49" t="s">
        <v>170</v>
      </c>
    </row>
    <row r="50" spans="1:11" x14ac:dyDescent="0.45">
      <c r="A50">
        <v>96</v>
      </c>
      <c r="B50" t="s">
        <v>154</v>
      </c>
      <c r="I50" t="str" cm="1">
        <f t="array" ref="I50">IF(K50="Visa klasser",IFERROR(INDEX(ekipage!B:B,MATCH(1,(ekipage!N:N=A50)*(ISNUMBER(ekipage!P:P)=FALSE),0)),""),"")</f>
        <v/>
      </c>
      <c r="J50" t="str" cm="1">
        <f t="array" ref="J50">IF(K50="Visa klasser",IFERROR(INDEX(ekipage!C:C, MATCH(1, (ekipage!N:N = A50) * (ISNUMBER(ekipage!P:P) = FALSE), 0)), "Ej individuell"),"Visar ej klasser")</f>
        <v>Ej individuell</v>
      </c>
      <c r="K50" t="s">
        <v>170</v>
      </c>
    </row>
    <row r="51" spans="1:11" x14ac:dyDescent="0.45">
      <c r="A51">
        <v>99</v>
      </c>
      <c r="B51" t="s">
        <v>169</v>
      </c>
      <c r="I51" t="str" cm="1">
        <f t="array" ref="I51">IF(K51="Visa klasser",IFERROR(INDEX(ekipage!B:B,MATCH(1,(ekipage!N:N=A51)*(ISNUMBER(ekipage!P:P)=FALSE),0)),""),"")</f>
        <v/>
      </c>
      <c r="J51" t="str" cm="1">
        <f t="array" ref="J51">IF(K51="Visa klasser",IFERROR(INDEX(ekipage!C:C, MATCH(1, (ekipage!N:N = A51) * (ISNUMBER(ekipage!P:P) = FALSE), 0)), "Ej individuell"),"Visar ej klasser")</f>
        <v>Ej individuell</v>
      </c>
      <c r="K51" t="s">
        <v>170</v>
      </c>
    </row>
    <row r="52" spans="1:11" x14ac:dyDescent="0.45">
      <c r="A52">
        <v>140351</v>
      </c>
      <c r="B52" t="s">
        <v>17</v>
      </c>
      <c r="I52" t="str" cm="1">
        <f t="array" ref="I52">IF(K52="Visa klasser",IFERROR(INDEX(ekipage!B:B,MATCH(1,(ekipage!N:N=A52)*(ISNUMBER(ekipage!P:P)=FALSE),0)),""),"")</f>
        <v/>
      </c>
      <c r="J52" t="str" cm="1">
        <f t="array" ref="J52">IF(K52="Visa klasser",IFERROR(INDEX(ekipage!C:C, MATCH(1, (ekipage!N:N = A52) * (ISNUMBER(ekipage!P:P) = FALSE), 0)), "Ej individuell"),"Visar ej klasser")</f>
        <v>Ej individuell</v>
      </c>
      <c r="K52" t="s">
        <v>170</v>
      </c>
    </row>
    <row r="53" spans="1:11" x14ac:dyDescent="0.45">
      <c r="A53">
        <v>155903</v>
      </c>
      <c r="B53" t="s">
        <v>69</v>
      </c>
      <c r="I53" t="str" cm="1">
        <f t="array" ref="I53">IF(K53="Visa klasser",IFERROR(INDEX(ekipage!B:B,MATCH(1,(ekipage!N:N=A53)*(ISNUMBER(ekipage!P:P)=FALSE),0)),""),"")</f>
        <v/>
      </c>
      <c r="J53" t="str" cm="1">
        <f t="array" ref="J53">IF(K53="Visa klasser",IFERROR(INDEX(ekipage!C:C, MATCH(1, (ekipage!N:N = A53) * (ISNUMBER(ekipage!P:P) = FALSE), 0)), "Ej individuell"),"Visar ej klasser")</f>
        <v>Ej individuell</v>
      </c>
      <c r="K53" t="s">
        <v>170</v>
      </c>
    </row>
    <row r="54" spans="1:11" x14ac:dyDescent="0.45">
      <c r="A54">
        <v>164010</v>
      </c>
      <c r="B54" t="s">
        <v>64</v>
      </c>
      <c r="I54" t="str" cm="1">
        <f t="array" ref="I54">IF(K54="Visa klasser",IFERROR(INDEX(ekipage!B:B,MATCH(1,(ekipage!N:N=A54)*(ISNUMBER(ekipage!P:P)=FALSE),0)),""),"")</f>
        <v/>
      </c>
      <c r="J54" t="str" cm="1">
        <f t="array" ref="J54">IF(K54="Visa klasser",IFERROR(INDEX(ekipage!C:C, MATCH(1, (ekipage!N:N = A54) * (ISNUMBER(ekipage!P:P) = FALSE), 0)), "Ej individuell"),"Visar ej klasser")</f>
        <v>Ej individuell</v>
      </c>
      <c r="K54" t="s">
        <v>170</v>
      </c>
    </row>
    <row r="55" spans="1:11" x14ac:dyDescent="0.45">
      <c r="A55">
        <v>164696</v>
      </c>
      <c r="B55" t="s">
        <v>67</v>
      </c>
      <c r="I55" t="str" cm="1">
        <f t="array" ref="I55">IF(K55="Visa klasser",IFERROR(INDEX(ekipage!B:B,MATCH(1,(ekipage!N:N=A55)*(ISNUMBER(ekipage!P:P)=FALSE),0)),""),"")</f>
        <v/>
      </c>
      <c r="J55" t="str" cm="1">
        <f t="array" ref="J55">IF(K55="Visa klasser",IFERROR(INDEX(ekipage!C:C, MATCH(1, (ekipage!N:N = A55) * (ISNUMBER(ekipage!P:P) = FALSE), 0)), "Ej individuell"),"Visar ej klasser")</f>
        <v>Ej individuell</v>
      </c>
      <c r="K55" t="s">
        <v>170</v>
      </c>
    </row>
    <row r="56" spans="1:11" x14ac:dyDescent="0.45">
      <c r="A56">
        <v>164698</v>
      </c>
      <c r="B56" t="s">
        <v>21</v>
      </c>
      <c r="I56" t="str" cm="1">
        <f t="array" ref="I56">IF(K56="Visa klasser",IFERROR(INDEX(ekipage!B:B,MATCH(1,(ekipage!N:N=A56)*(ISNUMBER(ekipage!P:P)=FALSE),0)),""),"")</f>
        <v/>
      </c>
      <c r="J56" t="str" cm="1">
        <f t="array" ref="J56">IF(K56="Visa klasser",IFERROR(INDEX(ekipage!C:C, MATCH(1, (ekipage!N:N = A56) * (ISNUMBER(ekipage!P:P) = FALSE), 0)), "Ej individuell"),"Visar ej klasser")</f>
        <v>Ej individuell</v>
      </c>
      <c r="K56" t="s">
        <v>170</v>
      </c>
    </row>
    <row r="57" spans="1:11" x14ac:dyDescent="0.45">
      <c r="A57">
        <v>171512</v>
      </c>
      <c r="B57" t="s">
        <v>81</v>
      </c>
      <c r="I57" t="str" cm="1">
        <f t="array" ref="I57">IF(K57="Visa klasser",IFERROR(INDEX(ekipage!B:B,MATCH(1,(ekipage!N:N=A57)*(ISNUMBER(ekipage!P:P)=FALSE),0)),""),"")</f>
        <v/>
      </c>
      <c r="J57" t="str" cm="1">
        <f t="array" ref="J57">IF(K57="Visa klasser",IFERROR(INDEX(ekipage!C:C, MATCH(1, (ekipage!N:N = A57) * (ISNUMBER(ekipage!P:P) = FALSE), 0)), "Ej individuell"),"Visar ej klasser")</f>
        <v>Ej individuell</v>
      </c>
      <c r="K57" t="s">
        <v>170</v>
      </c>
    </row>
    <row r="58" spans="1:11" x14ac:dyDescent="0.45">
      <c r="A58">
        <v>172842</v>
      </c>
      <c r="B58" t="s">
        <v>97</v>
      </c>
      <c r="I58" t="str" cm="1">
        <f t="array" ref="I58">IF(K58="Visa klasser",IFERROR(INDEX(ekipage!B:B,MATCH(1,(ekipage!N:N=A58)*(ISNUMBER(ekipage!P:P)=FALSE),0)),""),"")</f>
        <v/>
      </c>
      <c r="J58" t="str" cm="1">
        <f t="array" ref="J58">IF(K58="Visa klasser",IFERROR(INDEX(ekipage!C:C, MATCH(1, (ekipage!N:N = A58) * (ISNUMBER(ekipage!P:P) = FALSE), 0)), "Ej individuell"),"Visar ej klasser")</f>
        <v>Ej individuell</v>
      </c>
      <c r="K58" t="s">
        <v>170</v>
      </c>
    </row>
    <row r="59" spans="1:11" x14ac:dyDescent="0.45">
      <c r="A59">
        <v>182163</v>
      </c>
      <c r="B59" t="s">
        <v>78</v>
      </c>
      <c r="I59" t="str" cm="1">
        <f t="array" ref="I59">IF(K59="Visa klasser",IFERROR(INDEX(ekipage!B:B,MATCH(1,(ekipage!N:N=A59)*(ISNUMBER(ekipage!P:P)=FALSE),0)),""),"")</f>
        <v/>
      </c>
      <c r="J59" t="str" cm="1">
        <f t="array" ref="J59">IF(K59="Visa klasser",IFERROR(INDEX(ekipage!C:C, MATCH(1, (ekipage!N:N = A59) * (ISNUMBER(ekipage!P:P) = FALSE), 0)), "Ej individuell"),"Visar ej klasser")</f>
        <v>Ej individuell</v>
      </c>
      <c r="K59" t="s">
        <v>170</v>
      </c>
    </row>
    <row r="60" spans="1:11" x14ac:dyDescent="0.45">
      <c r="A60">
        <v>186888</v>
      </c>
      <c r="B60" t="s">
        <v>84</v>
      </c>
      <c r="I60" t="str" cm="1">
        <f t="array" ref="I60">IF(K60="Visa klasser",IFERROR(INDEX(ekipage!B:B,MATCH(1,(ekipage!N:N=A60)*(ISNUMBER(ekipage!P:P)=FALSE),0)),""),"")</f>
        <v/>
      </c>
      <c r="J60" t="str" cm="1">
        <f t="array" ref="J60">IF(K60="Visa klasser",IFERROR(INDEX(ekipage!C:C, MATCH(1, (ekipage!N:N = A60) * (ISNUMBER(ekipage!P:P) = FALSE), 0)), "Ej individuell"),"Visar ej klasser")</f>
        <v>Ej individuell</v>
      </c>
      <c r="K60" t="s">
        <v>170</v>
      </c>
    </row>
    <row r="61" spans="1:11" x14ac:dyDescent="0.45">
      <c r="A61">
        <v>190728</v>
      </c>
      <c r="B61" t="s">
        <v>89</v>
      </c>
      <c r="I61" t="str" cm="1">
        <f t="array" ref="I61">IF(K61="Visa klasser",IFERROR(INDEX(ekipage!B:B,MATCH(1,(ekipage!N:N=A61)*(ISNUMBER(ekipage!P:P)=FALSE),0)),""),"")</f>
        <v/>
      </c>
      <c r="J61" t="str" cm="1">
        <f t="array" ref="J61">IF(K61="Visa klasser",IFERROR(INDEX(ekipage!C:C, MATCH(1, (ekipage!N:N = A61) * (ISNUMBER(ekipage!P:P) = FALSE), 0)), "Ej individuell"),"Visar ej klasser")</f>
        <v>Ej individuell</v>
      </c>
      <c r="K61" t="s">
        <v>170</v>
      </c>
    </row>
    <row r="62" spans="1:11" x14ac:dyDescent="0.45">
      <c r="A62">
        <v>195030</v>
      </c>
      <c r="B62" t="s">
        <v>39</v>
      </c>
      <c r="I62" t="str" cm="1">
        <f t="array" ref="I62">IF(K62="Visa klasser",IFERROR(INDEX(ekipage!B:B,MATCH(1,(ekipage!N:N=A62)*(ISNUMBER(ekipage!P:P)=FALSE),0)),""),"")</f>
        <v/>
      </c>
      <c r="J62" t="str" cm="1">
        <f t="array" ref="J62">IF(K62="Visa klasser",IFERROR(INDEX(ekipage!C:C, MATCH(1, (ekipage!N:N = A62) * (ISNUMBER(ekipage!P:P) = FALSE), 0)), "Ej individuell"),"Visar ej klasser")</f>
        <v>Ej individuell</v>
      </c>
      <c r="K62" t="s">
        <v>170</v>
      </c>
    </row>
    <row r="63" spans="1:11" x14ac:dyDescent="0.45">
      <c r="A63">
        <v>200754</v>
      </c>
      <c r="B63" t="s">
        <v>85</v>
      </c>
      <c r="I63" t="str" cm="1">
        <f t="array" ref="I63">IF(K63="Visa klasser",IFERROR(INDEX(ekipage!B:B,MATCH(1,(ekipage!N:N=A63)*(ISNUMBER(ekipage!P:P)=FALSE),0)),""),"")</f>
        <v/>
      </c>
      <c r="J63" t="str" cm="1">
        <f t="array" ref="J63">IF(K63="Visa klasser",IFERROR(INDEX(ekipage!C:C, MATCH(1, (ekipage!N:N = A63) * (ISNUMBER(ekipage!P:P) = FALSE), 0)), "Ej individuell"),"Visar ej klasser")</f>
        <v>Ej individuell</v>
      </c>
      <c r="K63" t="s">
        <v>170</v>
      </c>
    </row>
    <row r="64" spans="1:11" x14ac:dyDescent="0.45">
      <c r="A64">
        <v>201304</v>
      </c>
      <c r="B64" t="s">
        <v>83</v>
      </c>
      <c r="I64" t="str" cm="1">
        <f t="array" ref="I64">IF(K64="Visa klasser",IFERROR(INDEX(ekipage!B:B,MATCH(1,(ekipage!N:N=A64)*(ISNUMBER(ekipage!P:P)=FALSE),0)),""),"")</f>
        <v/>
      </c>
      <c r="J64" t="str" cm="1">
        <f t="array" ref="J64">IF(K64="Visa klasser",IFERROR(INDEX(ekipage!C:C, MATCH(1, (ekipage!N:N = A64) * (ISNUMBER(ekipage!P:P) = FALSE), 0)), "Ej individuell"),"Visar ej klasser")</f>
        <v>Ej individuell</v>
      </c>
      <c r="K64" t="s">
        <v>170</v>
      </c>
    </row>
    <row r="65" spans="1:11" x14ac:dyDescent="0.45">
      <c r="A65">
        <v>203320</v>
      </c>
      <c r="B65" t="s">
        <v>68</v>
      </c>
      <c r="I65" t="str" cm="1">
        <f t="array" ref="I65">IF(K65="Visa klasser",IFERROR(INDEX(ekipage!B:B,MATCH(1,(ekipage!N:N=A65)*(ISNUMBER(ekipage!P:P)=FALSE),0)),""),"")</f>
        <v/>
      </c>
      <c r="J65" t="str" cm="1">
        <f t="array" ref="J65">IF(K65="Visa klasser",IFERROR(INDEX(ekipage!C:C, MATCH(1, (ekipage!N:N = A65) * (ISNUMBER(ekipage!P:P) = FALSE), 0)), "Ej individuell"),"Visar ej klasser")</f>
        <v>Ej individuell</v>
      </c>
      <c r="K65" t="s">
        <v>170</v>
      </c>
    </row>
    <row r="66" spans="1:11" x14ac:dyDescent="0.45">
      <c r="A66">
        <v>203576</v>
      </c>
      <c r="B66" t="s">
        <v>88</v>
      </c>
      <c r="I66" t="str" cm="1">
        <f t="array" ref="I66">IF(K66="Visa klasser",IFERROR(INDEX(ekipage!B:B,MATCH(1,(ekipage!N:N=A66)*(ISNUMBER(ekipage!P:P)=FALSE),0)),""),"")</f>
        <v/>
      </c>
      <c r="J66" t="str" cm="1">
        <f t="array" ref="J66">IF(K66="Visa klasser",IFERROR(INDEX(ekipage!C:C, MATCH(1, (ekipage!N:N = A66) * (ISNUMBER(ekipage!P:P) = FALSE), 0)), "Ej individuell"),"Visar ej klasser")</f>
        <v>Ej individuell</v>
      </c>
      <c r="K66" t="s">
        <v>170</v>
      </c>
    </row>
    <row r="67" spans="1:11" x14ac:dyDescent="0.45">
      <c r="A67">
        <v>203579</v>
      </c>
      <c r="B67" t="s">
        <v>90</v>
      </c>
      <c r="I67" t="str" cm="1">
        <f t="array" ref="I67">IF(K67="Visa klasser",IFERROR(INDEX(ekipage!B:B,MATCH(1,(ekipage!N:N=A67)*(ISNUMBER(ekipage!P:P)=FALSE),0)),""),"")</f>
        <v/>
      </c>
      <c r="J67" t="str" cm="1">
        <f t="array" ref="J67">IF(K67="Visa klasser",IFERROR(INDEX(ekipage!C:C, MATCH(1, (ekipage!N:N = A67) * (ISNUMBER(ekipage!P:P) = FALSE), 0)), "Ej individuell"),"Visar ej klasser")</f>
        <v>Ej individuell</v>
      </c>
      <c r="K67" t="s">
        <v>170</v>
      </c>
    </row>
    <row r="68" spans="1:11" x14ac:dyDescent="0.45">
      <c r="A68">
        <v>204013</v>
      </c>
      <c r="B68" t="s">
        <v>92</v>
      </c>
      <c r="I68" t="str" cm="1">
        <f t="array" ref="I68">IF(K68="Visa klasser",IFERROR(INDEX(ekipage!B:B,MATCH(1,(ekipage!N:N=A68)*(ISNUMBER(ekipage!P:P)=FALSE),0)),""),"")</f>
        <v/>
      </c>
      <c r="J68" t="str" cm="1">
        <f t="array" ref="J68">IF(K68="Visa klasser",IFERROR(INDEX(ekipage!C:C, MATCH(1, (ekipage!N:N = A68) * (ISNUMBER(ekipage!P:P) = FALSE), 0)), "Ej individuell"),"Visar ej klasser")</f>
        <v>Ej individuell</v>
      </c>
      <c r="K68" t="s">
        <v>170</v>
      </c>
    </row>
    <row r="69" spans="1:11" x14ac:dyDescent="0.45">
      <c r="A69">
        <v>206123</v>
      </c>
      <c r="B69" t="s">
        <v>80</v>
      </c>
      <c r="I69" t="str" cm="1">
        <f t="array" ref="I69">IF(K69="Visa klasser",IFERROR(INDEX(ekipage!B:B,MATCH(1,(ekipage!N:N=A69)*(ISNUMBER(ekipage!P:P)=FALSE),0)),""),"")</f>
        <v/>
      </c>
      <c r="J69" t="str" cm="1">
        <f t="array" ref="J69">IF(K69="Visa klasser",IFERROR(INDEX(ekipage!C:C, MATCH(1, (ekipage!N:N = A69) * (ISNUMBER(ekipage!P:P) = FALSE), 0)), "Ej individuell"),"Visar ej klasser")</f>
        <v>Ej individuell</v>
      </c>
      <c r="K69" t="s">
        <v>170</v>
      </c>
    </row>
    <row r="70" spans="1:11" x14ac:dyDescent="0.45">
      <c r="A70">
        <v>206216</v>
      </c>
      <c r="B70" t="s">
        <v>91</v>
      </c>
      <c r="I70" t="str" cm="1">
        <f t="array" ref="I70">IF(K70="Visa klasser",IFERROR(INDEX(ekipage!B:B,MATCH(1,(ekipage!N:N=A70)*(ISNUMBER(ekipage!P:P)=FALSE),0)),""),"")</f>
        <v/>
      </c>
      <c r="J70" t="str" cm="1">
        <f t="array" ref="J70">IF(K70="Visa klasser",IFERROR(INDEX(ekipage!C:C, MATCH(1, (ekipage!N:N = A70) * (ISNUMBER(ekipage!P:P) = FALSE), 0)), "Ej individuell"),"Visar ej klasser")</f>
        <v>Ej individuell</v>
      </c>
      <c r="K70" t="s">
        <v>170</v>
      </c>
    </row>
    <row r="71" spans="1:11" x14ac:dyDescent="0.45">
      <c r="K71" t="s">
        <v>170</v>
      </c>
    </row>
    <row r="72" spans="1:11" x14ac:dyDescent="0.45">
      <c r="K72" t="s">
        <v>170</v>
      </c>
    </row>
    <row r="73" spans="1:11" x14ac:dyDescent="0.45">
      <c r="K73" t="s">
        <v>170</v>
      </c>
    </row>
    <row r="74" spans="1:11" x14ac:dyDescent="0.45">
      <c r="K74" t="s">
        <v>170</v>
      </c>
    </row>
    <row r="75" spans="1:11" x14ac:dyDescent="0.45">
      <c r="K75" t="s">
        <v>170</v>
      </c>
    </row>
    <row r="76" spans="1:11" x14ac:dyDescent="0.45">
      <c r="K76" t="s">
        <v>170</v>
      </c>
    </row>
    <row r="77" spans="1:11" x14ac:dyDescent="0.45">
      <c r="K77" t="s">
        <v>170</v>
      </c>
    </row>
    <row r="78" spans="1:11" x14ac:dyDescent="0.45">
      <c r="K78" t="s">
        <v>170</v>
      </c>
    </row>
    <row r="79" spans="1:11" x14ac:dyDescent="0.45">
      <c r="K79" t="s">
        <v>170</v>
      </c>
    </row>
    <row r="80" spans="1:11" x14ac:dyDescent="0.45">
      <c r="K80" t="s">
        <v>170</v>
      </c>
    </row>
    <row r="81" spans="11:11" x14ac:dyDescent="0.45">
      <c r="K81" t="s">
        <v>170</v>
      </c>
    </row>
    <row r="82" spans="11:11" x14ac:dyDescent="0.45">
      <c r="K82" t="s">
        <v>170</v>
      </c>
    </row>
    <row r="83" spans="11:11" x14ac:dyDescent="0.45">
      <c r="K83" t="s">
        <v>170</v>
      </c>
    </row>
    <row r="84" spans="11:11" x14ac:dyDescent="0.45">
      <c r="K84" t="s">
        <v>170</v>
      </c>
    </row>
    <row r="85" spans="11:11" x14ac:dyDescent="0.45">
      <c r="K85" t="s">
        <v>170</v>
      </c>
    </row>
    <row r="86" spans="11:11" x14ac:dyDescent="0.45">
      <c r="K86" t="s">
        <v>170</v>
      </c>
    </row>
    <row r="87" spans="11:11" x14ac:dyDescent="0.45">
      <c r="K87" t="s">
        <v>170</v>
      </c>
    </row>
    <row r="88" spans="11:11" x14ac:dyDescent="0.45">
      <c r="K88" t="s">
        <v>170</v>
      </c>
    </row>
    <row r="89" spans="11:11" x14ac:dyDescent="0.45">
      <c r="K89" t="s">
        <v>170</v>
      </c>
    </row>
    <row r="90" spans="11:11" x14ac:dyDescent="0.45">
      <c r="K90" t="s">
        <v>170</v>
      </c>
    </row>
    <row r="91" spans="11:11" x14ac:dyDescent="0.45">
      <c r="K91" t="s">
        <v>170</v>
      </c>
    </row>
    <row r="92" spans="11:11" x14ac:dyDescent="0.45">
      <c r="K92" t="s">
        <v>170</v>
      </c>
    </row>
    <row r="93" spans="11:11" x14ac:dyDescent="0.45">
      <c r="K93" t="s">
        <v>170</v>
      </c>
    </row>
    <row r="94" spans="11:11" x14ac:dyDescent="0.45">
      <c r="K94" t="s">
        <v>170</v>
      </c>
    </row>
    <row r="95" spans="11:11" x14ac:dyDescent="0.45">
      <c r="K95" t="s">
        <v>170</v>
      </c>
    </row>
    <row r="96" spans="11:11" x14ac:dyDescent="0.45">
      <c r="K96" t="s">
        <v>170</v>
      </c>
    </row>
    <row r="97" spans="11:11" x14ac:dyDescent="0.45">
      <c r="K97" t="s">
        <v>170</v>
      </c>
    </row>
    <row r="98" spans="11:11" x14ac:dyDescent="0.45">
      <c r="K98" t="s">
        <v>170</v>
      </c>
    </row>
    <row r="99" spans="11:11" x14ac:dyDescent="0.45">
      <c r="K99" t="s">
        <v>170</v>
      </c>
    </row>
    <row r="100" spans="11:11" x14ac:dyDescent="0.45">
      <c r="K100" t="s">
        <v>170</v>
      </c>
    </row>
    <row r="101" spans="11:11" x14ac:dyDescent="0.45">
      <c r="K101" t="s">
        <v>170</v>
      </c>
    </row>
    <row r="102" spans="11:11" x14ac:dyDescent="0.45">
      <c r="K102" t="s">
        <v>170</v>
      </c>
    </row>
    <row r="103" spans="11:11" x14ac:dyDescent="0.45">
      <c r="K103" t="s">
        <v>170</v>
      </c>
    </row>
    <row r="104" spans="11:11" x14ac:dyDescent="0.45">
      <c r="K104" t="s">
        <v>170</v>
      </c>
    </row>
    <row r="105" spans="11:11" x14ac:dyDescent="0.45">
      <c r="K105" t="s">
        <v>170</v>
      </c>
    </row>
    <row r="106" spans="11:11" x14ac:dyDescent="0.45">
      <c r="K106" t="s">
        <v>170</v>
      </c>
    </row>
    <row r="107" spans="11:11" x14ac:dyDescent="0.45">
      <c r="K107" t="s">
        <v>170</v>
      </c>
    </row>
    <row r="108" spans="11:11" x14ac:dyDescent="0.45">
      <c r="K108" t="s">
        <v>170</v>
      </c>
    </row>
    <row r="109" spans="11:11" x14ac:dyDescent="0.45">
      <c r="K109" t="s">
        <v>170</v>
      </c>
    </row>
    <row r="110" spans="11:11" x14ac:dyDescent="0.45">
      <c r="K110" t="s">
        <v>170</v>
      </c>
    </row>
    <row r="111" spans="11:11" x14ac:dyDescent="0.45">
      <c r="K111" t="s">
        <v>170</v>
      </c>
    </row>
    <row r="112" spans="11:11" x14ac:dyDescent="0.45">
      <c r="K112" t="s">
        <v>170</v>
      </c>
    </row>
    <row r="113" spans="11:11" x14ac:dyDescent="0.45">
      <c r="K113" t="s">
        <v>170</v>
      </c>
    </row>
    <row r="114" spans="11:11" x14ac:dyDescent="0.45">
      <c r="K114" t="s">
        <v>170</v>
      </c>
    </row>
  </sheetData>
  <sortState xmlns:xlrd2="http://schemas.microsoft.com/office/spreadsheetml/2017/richdata2" ref="A1:K111">
    <sortCondition ref="I1:I1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9</vt:i4>
      </vt:variant>
    </vt:vector>
  </HeadingPairs>
  <TitlesOfParts>
    <vt:vector size="9" baseType="lpstr">
      <vt:lpstr>startlista</vt:lpstr>
      <vt:lpstr>startlisteklasser</vt:lpstr>
      <vt:lpstr>ekipage</vt:lpstr>
      <vt:lpstr>klasser</vt:lpstr>
      <vt:lpstr>linförare</vt:lpstr>
      <vt:lpstr>reservhästar</vt:lpstr>
      <vt:lpstr>hästar</vt:lpstr>
      <vt:lpstr>klubbar</vt:lpstr>
      <vt:lpstr>voltigörer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Lundström</dc:creator>
  <cp:lastModifiedBy>Magnus Sandberg</cp:lastModifiedBy>
  <dcterms:created xsi:type="dcterms:W3CDTF">2020-09-22T21:54:55Z</dcterms:created>
  <dcterms:modified xsi:type="dcterms:W3CDTF">2025-10-04T12:12:19Z</dcterms:modified>
</cp:coreProperties>
</file>