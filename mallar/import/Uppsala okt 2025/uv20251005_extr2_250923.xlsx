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piserver\voltige\VoltigeClosedXML\mallar\import\Uppsala okt 2025\"/>
    </mc:Choice>
  </mc:AlternateContent>
  <xr:revisionPtr revIDLastSave="0" documentId="13_ncr:1_{36CA47CE-D234-462A-A553-282B04DD8578}" xr6:coauthVersionLast="47" xr6:coauthVersionMax="47" xr10:uidLastSave="{00000000-0000-0000-0000-000000000000}"/>
  <bookViews>
    <workbookView xWindow="-98" yWindow="-98" windowWidth="21795" windowHeight="13096" tabRatio="584" activeTab="1" xr2:uid="{9C6C5895-3CBC-495A-8EC3-24DF642F0EB2}"/>
  </bookViews>
  <sheets>
    <sheet name="startlisteklasser" sheetId="8" r:id="rId1"/>
    <sheet name="ekipage" sheetId="1" r:id="rId2"/>
    <sheet name="klasser" sheetId="2" r:id="rId3"/>
    <sheet name="linförare" sheetId="3" r:id="rId4"/>
    <sheet name="reservhästar" sheetId="7" r:id="rId5"/>
    <sheet name="hästar" sheetId="4" r:id="rId6"/>
    <sheet name="klubbar" sheetId="5" r:id="rId7"/>
    <sheet name="voltigörer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6" l="1" a="1"/>
  <c r="I3" i="6" s="1"/>
  <c r="I4" i="6" a="1"/>
  <c r="I4" i="6" s="1"/>
  <c r="I5" i="6" a="1"/>
  <c r="I5" i="6" s="1"/>
  <c r="I6" i="6" a="1"/>
  <c r="I6" i="6" s="1"/>
  <c r="I7" i="6" a="1"/>
  <c r="I7" i="6" s="1"/>
  <c r="I8" i="6" a="1"/>
  <c r="I8" i="6" s="1"/>
  <c r="I9" i="6" a="1"/>
  <c r="I9" i="6" s="1"/>
  <c r="I10" i="6" a="1"/>
  <c r="I10" i="6" s="1"/>
  <c r="I11" i="6" a="1"/>
  <c r="I11" i="6" s="1"/>
  <c r="I12" i="6" a="1"/>
  <c r="I12" i="6" s="1"/>
  <c r="I13" i="6" a="1"/>
  <c r="I13" i="6" s="1"/>
  <c r="I14" i="6" a="1"/>
  <c r="I14" i="6" s="1"/>
  <c r="I15" i="6" a="1"/>
  <c r="I15" i="6" s="1"/>
  <c r="I16" i="6" a="1"/>
  <c r="I16" i="6" s="1"/>
  <c r="I17" i="6" a="1"/>
  <c r="I17" i="6" s="1"/>
  <c r="I18" i="6" a="1"/>
  <c r="I18" i="6" s="1"/>
  <c r="I19" i="6" a="1"/>
  <c r="I19" i="6" s="1"/>
  <c r="I20" i="6" a="1"/>
  <c r="I20" i="6" s="1"/>
  <c r="I21" i="6" a="1"/>
  <c r="I21" i="6" s="1"/>
  <c r="I22" i="6" a="1"/>
  <c r="I22" i="6" s="1"/>
  <c r="I23" i="6" a="1"/>
  <c r="I23" i="6" s="1"/>
  <c r="I24" i="6" a="1"/>
  <c r="I24" i="6" s="1"/>
  <c r="I25" i="6" a="1"/>
  <c r="I25" i="6" s="1"/>
  <c r="I26" i="6" a="1"/>
  <c r="I26" i="6" s="1"/>
  <c r="I27" i="6" a="1"/>
  <c r="I27" i="6" s="1"/>
  <c r="I28" i="6" a="1"/>
  <c r="I28" i="6" s="1"/>
  <c r="I29" i="6" a="1"/>
  <c r="I29" i="6" s="1"/>
  <c r="I30" i="6" a="1"/>
  <c r="I30" i="6" s="1"/>
  <c r="I31" i="6" a="1"/>
  <c r="I31" i="6" s="1"/>
  <c r="I32" i="6" a="1"/>
  <c r="I32" i="6" s="1"/>
  <c r="I33" i="6" a="1"/>
  <c r="I33" i="6" s="1"/>
  <c r="I34" i="6" a="1"/>
  <c r="I34" i="6" s="1"/>
  <c r="I35" i="6" a="1"/>
  <c r="I35" i="6" s="1"/>
  <c r="I36" i="6" a="1"/>
  <c r="I36" i="6" s="1"/>
  <c r="I37" i="6" a="1"/>
  <c r="I37" i="6" s="1"/>
  <c r="I38" i="6" a="1"/>
  <c r="I38" i="6" s="1"/>
  <c r="I39" i="6" a="1"/>
  <c r="I39" i="6" s="1"/>
  <c r="I40" i="6" a="1"/>
  <c r="I40" i="6" s="1"/>
  <c r="I41" i="6" a="1"/>
  <c r="I41" i="6" s="1"/>
  <c r="I42" i="6" a="1"/>
  <c r="I42" i="6" s="1"/>
  <c r="I43" i="6" a="1"/>
  <c r="I43" i="6" s="1"/>
  <c r="I44" i="6" a="1"/>
  <c r="I44" i="6" s="1"/>
  <c r="I45" i="6" a="1"/>
  <c r="I45" i="6" s="1"/>
  <c r="I46" i="6" a="1"/>
  <c r="I46" i="6" s="1"/>
  <c r="I47" i="6" a="1"/>
  <c r="I47" i="6" s="1"/>
  <c r="I48" i="6" a="1"/>
  <c r="I48" i="6" s="1"/>
  <c r="I49" i="6" a="1"/>
  <c r="I49" i="6" s="1"/>
  <c r="I50" i="6" a="1"/>
  <c r="I50" i="6" s="1"/>
  <c r="I51" i="6" a="1"/>
  <c r="I51" i="6" s="1"/>
  <c r="I52" i="6" a="1"/>
  <c r="I52" i="6" s="1"/>
  <c r="I53" i="6" a="1"/>
  <c r="I53" i="6" s="1"/>
  <c r="I54" i="6" a="1"/>
  <c r="I54" i="6" s="1"/>
  <c r="I55" i="6" a="1"/>
  <c r="I55" i="6" s="1"/>
  <c r="I56" i="6" a="1"/>
  <c r="I56" i="6" s="1"/>
  <c r="I57" i="6" a="1"/>
  <c r="I57" i="6" s="1"/>
  <c r="I58" i="6" a="1"/>
  <c r="I58" i="6" s="1"/>
  <c r="I59" i="6" a="1"/>
  <c r="I59" i="6" s="1"/>
  <c r="I60" i="6" a="1"/>
  <c r="I60" i="6" s="1"/>
  <c r="I61" i="6" a="1"/>
  <c r="I61" i="6" s="1"/>
  <c r="I62" i="6" a="1"/>
  <c r="I62" i="6" s="1"/>
  <c r="I63" i="6" a="1"/>
  <c r="I63" i="6" s="1"/>
  <c r="I64" i="6" a="1"/>
  <c r="I64" i="6" s="1"/>
  <c r="I65" i="6" a="1"/>
  <c r="I65" i="6" s="1"/>
  <c r="I66" i="6" a="1"/>
  <c r="I66" i="6" s="1"/>
  <c r="I67" i="6" a="1"/>
  <c r="I67" i="6" s="1"/>
  <c r="I68" i="6" a="1"/>
  <c r="I68" i="6" s="1"/>
  <c r="I69" i="6" a="1"/>
  <c r="I69" i="6" s="1"/>
  <c r="I70" i="6" a="1"/>
  <c r="I70" i="6" s="1"/>
  <c r="I71" i="6" a="1"/>
  <c r="I71" i="6" s="1"/>
  <c r="I72" i="6" a="1"/>
  <c r="I72" i="6" s="1"/>
  <c r="I73" i="6" a="1"/>
  <c r="I73" i="6" s="1"/>
  <c r="I74" i="6" a="1"/>
  <c r="I74" i="6" s="1"/>
  <c r="I75" i="6" a="1"/>
  <c r="I75" i="6" s="1"/>
  <c r="I76" i="6" a="1"/>
  <c r="I76" i="6" s="1"/>
  <c r="I77" i="6" a="1"/>
  <c r="I77" i="6" s="1"/>
  <c r="I78" i="6" a="1"/>
  <c r="I78" i="6" s="1"/>
  <c r="I79" i="6" a="1"/>
  <c r="I79" i="6" s="1"/>
  <c r="I80" i="6" a="1"/>
  <c r="I80" i="6" s="1"/>
  <c r="I81" i="6" a="1"/>
  <c r="I81" i="6" s="1"/>
  <c r="I82" i="6" a="1"/>
  <c r="I82" i="6" s="1"/>
  <c r="I83" i="6" a="1"/>
  <c r="I83" i="6" s="1"/>
  <c r="I84" i="6" a="1"/>
  <c r="I84" i="6" s="1"/>
  <c r="I85" i="6" a="1"/>
  <c r="I85" i="6" s="1"/>
  <c r="I86" i="6" a="1"/>
  <c r="I86" i="6" s="1"/>
  <c r="I87" i="6" a="1"/>
  <c r="I87" i="6" s="1"/>
  <c r="I88" i="6" a="1"/>
  <c r="I88" i="6" s="1"/>
  <c r="I89" i="6" a="1"/>
  <c r="I89" i="6" s="1"/>
  <c r="I90" i="6" a="1"/>
  <c r="I90" i="6" s="1"/>
  <c r="I91" i="6" a="1"/>
  <c r="I91" i="6" s="1"/>
  <c r="I92" i="6" a="1"/>
  <c r="I92" i="6" s="1"/>
  <c r="I93" i="6" a="1"/>
  <c r="I93" i="6" s="1"/>
  <c r="I94" i="6" a="1"/>
  <c r="I94" i="6" s="1"/>
  <c r="I95" i="6" a="1"/>
  <c r="I95" i="6" s="1"/>
  <c r="I96" i="6" a="1"/>
  <c r="I96" i="6" s="1"/>
  <c r="I97" i="6" a="1"/>
  <c r="I97" i="6" s="1"/>
  <c r="I98" i="6" a="1"/>
  <c r="I98" i="6" s="1"/>
  <c r="I99" i="6" a="1"/>
  <c r="I99" i="6" s="1"/>
  <c r="I100" i="6" a="1"/>
  <c r="I100" i="6" s="1"/>
  <c r="I101" i="6" a="1"/>
  <c r="I101" i="6" s="1"/>
  <c r="I102" i="6" a="1"/>
  <c r="I102" i="6" s="1"/>
  <c r="I103" i="6" a="1"/>
  <c r="I103" i="6" s="1"/>
  <c r="I104" i="6" a="1"/>
  <c r="I104" i="6" s="1"/>
  <c r="I105" i="6" a="1"/>
  <c r="I105" i="6" s="1"/>
  <c r="I106" i="6" a="1"/>
  <c r="I106" i="6" s="1"/>
  <c r="I107" i="6" a="1"/>
  <c r="I107" i="6" s="1"/>
  <c r="I108" i="6" a="1"/>
  <c r="I108" i="6" s="1"/>
  <c r="I109" i="6" a="1"/>
  <c r="I109" i="6" s="1"/>
  <c r="I110" i="6" a="1"/>
  <c r="I110" i="6" s="1"/>
  <c r="I111" i="6" a="1"/>
  <c r="I111" i="6" s="1"/>
  <c r="I112" i="6" a="1"/>
  <c r="I112" i="6" s="1"/>
  <c r="I113" i="6" a="1"/>
  <c r="I113" i="6" s="1"/>
  <c r="I114" i="6" a="1"/>
  <c r="I114" i="6" s="1"/>
  <c r="I115" i="6" a="1"/>
  <c r="I115" i="6" s="1"/>
  <c r="I116" i="6" a="1"/>
  <c r="I116" i="6" s="1"/>
  <c r="I117" i="6" a="1"/>
  <c r="I117" i="6" s="1"/>
  <c r="I118" i="6" a="1"/>
  <c r="I118" i="6" s="1"/>
  <c r="I119" i="6" a="1"/>
  <c r="I119" i="6" s="1"/>
  <c r="I120" i="6" a="1"/>
  <c r="I120" i="6" s="1"/>
  <c r="I121" i="6" a="1"/>
  <c r="I121" i="6" s="1"/>
  <c r="I122" i="6" a="1"/>
  <c r="I122" i="6" s="1"/>
  <c r="I123" i="6" a="1"/>
  <c r="I123" i="6" s="1"/>
  <c r="I124" i="6" a="1"/>
  <c r="I124" i="6" s="1"/>
  <c r="I2" i="6" a="1"/>
  <c r="I2" i="6" s="1"/>
  <c r="J3" i="6" a="1"/>
  <c r="J3" i="6" s="1"/>
  <c r="J4" i="6" a="1"/>
  <c r="J4" i="6" s="1"/>
  <c r="J5" i="6" a="1"/>
  <c r="J5" i="6" s="1"/>
  <c r="J6" i="6" a="1"/>
  <c r="J6" i="6" s="1"/>
  <c r="J7" i="6" a="1"/>
  <c r="J7" i="6" s="1"/>
  <c r="J8" i="6" a="1"/>
  <c r="J8" i="6" s="1"/>
  <c r="J9" i="6" a="1"/>
  <c r="J9" i="6" s="1"/>
  <c r="J10" i="6" a="1"/>
  <c r="J10" i="6" s="1"/>
  <c r="J11" i="6" a="1"/>
  <c r="J11" i="6" s="1"/>
  <c r="J12" i="6" a="1"/>
  <c r="J12" i="6" s="1"/>
  <c r="J13" i="6" a="1"/>
  <c r="J13" i="6" s="1"/>
  <c r="J14" i="6" a="1"/>
  <c r="J14" i="6" s="1"/>
  <c r="J15" i="6" a="1"/>
  <c r="J15" i="6" s="1"/>
  <c r="J16" i="6" a="1"/>
  <c r="J16" i="6" s="1"/>
  <c r="J17" i="6" a="1"/>
  <c r="J17" i="6" s="1"/>
  <c r="J18" i="6" a="1"/>
  <c r="J18" i="6" s="1"/>
  <c r="J19" i="6" a="1"/>
  <c r="J19" i="6" s="1"/>
  <c r="J20" i="6" a="1"/>
  <c r="J20" i="6" s="1"/>
  <c r="J21" i="6" a="1"/>
  <c r="J21" i="6" s="1"/>
  <c r="J22" i="6" a="1"/>
  <c r="J22" i="6" s="1"/>
  <c r="J23" i="6" a="1"/>
  <c r="J23" i="6" s="1"/>
  <c r="J24" i="6" a="1"/>
  <c r="J24" i="6" s="1"/>
  <c r="J25" i="6" a="1"/>
  <c r="J25" i="6" s="1"/>
  <c r="J26" i="6" a="1"/>
  <c r="J26" i="6" s="1"/>
  <c r="J27" i="6" a="1"/>
  <c r="J27" i="6" s="1"/>
  <c r="J28" i="6" a="1"/>
  <c r="J28" i="6" s="1"/>
  <c r="J29" i="6" a="1"/>
  <c r="J29" i="6" s="1"/>
  <c r="J30" i="6" a="1"/>
  <c r="J30" i="6" s="1"/>
  <c r="J31" i="6" a="1"/>
  <c r="J31" i="6" s="1"/>
  <c r="J32" i="6" a="1"/>
  <c r="J32" i="6" s="1"/>
  <c r="J33" i="6" a="1"/>
  <c r="J33" i="6" s="1"/>
  <c r="J34" i="6" a="1"/>
  <c r="J34" i="6" s="1"/>
  <c r="J35" i="6" a="1"/>
  <c r="J35" i="6" s="1"/>
  <c r="J36" i="6" a="1"/>
  <c r="J36" i="6" s="1"/>
  <c r="J37" i="6" a="1"/>
  <c r="J37" i="6" s="1"/>
  <c r="J38" i="6" a="1"/>
  <c r="J38" i="6" s="1"/>
  <c r="J39" i="6" a="1"/>
  <c r="J39" i="6" s="1"/>
  <c r="J40" i="6" a="1"/>
  <c r="J40" i="6" s="1"/>
  <c r="J41" i="6" a="1"/>
  <c r="J41" i="6" s="1"/>
  <c r="J42" i="6" a="1"/>
  <c r="J42" i="6" s="1"/>
  <c r="J43" i="6" a="1"/>
  <c r="J43" i="6" s="1"/>
  <c r="J44" i="6" a="1"/>
  <c r="J44" i="6" s="1"/>
  <c r="J45" i="6" a="1"/>
  <c r="J45" i="6" s="1"/>
  <c r="J46" i="6" a="1"/>
  <c r="J46" i="6" s="1"/>
  <c r="J47" i="6" a="1"/>
  <c r="J47" i="6" s="1"/>
  <c r="J48" i="6" a="1"/>
  <c r="J48" i="6" s="1"/>
  <c r="J49" i="6" a="1"/>
  <c r="J49" i="6" s="1"/>
  <c r="J50" i="6" a="1"/>
  <c r="J50" i="6" s="1"/>
  <c r="J51" i="6" a="1"/>
  <c r="J51" i="6" s="1"/>
  <c r="J52" i="6" a="1"/>
  <c r="J52" i="6" s="1"/>
  <c r="J53" i="6" a="1"/>
  <c r="J53" i="6" s="1"/>
  <c r="J54" i="6" a="1"/>
  <c r="J54" i="6" s="1"/>
  <c r="J55" i="6" a="1"/>
  <c r="J55" i="6" s="1"/>
  <c r="J56" i="6" a="1"/>
  <c r="J56" i="6" s="1"/>
  <c r="J57" i="6" a="1"/>
  <c r="J57" i="6" s="1"/>
  <c r="J58" i="6" a="1"/>
  <c r="J58" i="6" s="1"/>
  <c r="J59" i="6" a="1"/>
  <c r="J59" i="6" s="1"/>
  <c r="J60" i="6" a="1"/>
  <c r="J60" i="6" s="1"/>
  <c r="J61" i="6" a="1"/>
  <c r="J61" i="6" s="1"/>
  <c r="J62" i="6" a="1"/>
  <c r="J62" i="6" s="1"/>
  <c r="J63" i="6" a="1"/>
  <c r="J63" i="6" s="1"/>
  <c r="J64" i="6" a="1"/>
  <c r="J64" i="6" s="1"/>
  <c r="J65" i="6" a="1"/>
  <c r="J65" i="6" s="1"/>
  <c r="J66" i="6" a="1"/>
  <c r="J66" i="6" s="1"/>
  <c r="J67" i="6" a="1"/>
  <c r="J67" i="6" s="1"/>
  <c r="J68" i="6" a="1"/>
  <c r="J68" i="6" s="1"/>
  <c r="J69" i="6" a="1"/>
  <c r="J69" i="6" s="1"/>
  <c r="J70" i="6" a="1"/>
  <c r="J70" i="6" s="1"/>
  <c r="J71" i="6" a="1"/>
  <c r="J71" i="6" s="1"/>
  <c r="J72" i="6" a="1"/>
  <c r="J72" i="6" s="1"/>
  <c r="J73" i="6" a="1"/>
  <c r="J73" i="6" s="1"/>
  <c r="J74" i="6" a="1"/>
  <c r="J74" i="6" s="1"/>
  <c r="J75" i="6" a="1"/>
  <c r="J75" i="6" s="1"/>
  <c r="J76" i="6" a="1"/>
  <c r="J76" i="6" s="1"/>
  <c r="J77" i="6" a="1"/>
  <c r="J77" i="6" s="1"/>
  <c r="J78" i="6" a="1"/>
  <c r="J78" i="6" s="1"/>
  <c r="J79" i="6" a="1"/>
  <c r="J79" i="6" s="1"/>
  <c r="J80" i="6" a="1"/>
  <c r="J80" i="6" s="1"/>
  <c r="J81" i="6" a="1"/>
  <c r="J81" i="6" s="1"/>
  <c r="J82" i="6" a="1"/>
  <c r="J82" i="6" s="1"/>
  <c r="J83" i="6" a="1"/>
  <c r="J83" i="6" s="1"/>
  <c r="J84" i="6" a="1"/>
  <c r="J84" i="6" s="1"/>
  <c r="J85" i="6" a="1"/>
  <c r="J85" i="6" s="1"/>
  <c r="J86" i="6" a="1"/>
  <c r="J86" i="6" s="1"/>
  <c r="J87" i="6" a="1"/>
  <c r="J87" i="6" s="1"/>
  <c r="J88" i="6" a="1"/>
  <c r="J88" i="6" s="1"/>
  <c r="J89" i="6" a="1"/>
  <c r="J89" i="6" s="1"/>
  <c r="J90" i="6" a="1"/>
  <c r="J90" i="6" s="1"/>
  <c r="J91" i="6" a="1"/>
  <c r="J91" i="6" s="1"/>
  <c r="J92" i="6" a="1"/>
  <c r="J92" i="6" s="1"/>
  <c r="J93" i="6" a="1"/>
  <c r="J93" i="6" s="1"/>
  <c r="J94" i="6" a="1"/>
  <c r="J94" i="6" s="1"/>
  <c r="J95" i="6" a="1"/>
  <c r="J95" i="6" s="1"/>
  <c r="J96" i="6" a="1"/>
  <c r="J96" i="6" s="1"/>
  <c r="J97" i="6" a="1"/>
  <c r="J97" i="6" s="1"/>
  <c r="J98" i="6" a="1"/>
  <c r="J98" i="6" s="1"/>
  <c r="J99" i="6" a="1"/>
  <c r="J99" i="6" s="1"/>
  <c r="J100" i="6" a="1"/>
  <c r="J100" i="6" s="1"/>
  <c r="J101" i="6" a="1"/>
  <c r="J101" i="6" s="1"/>
  <c r="J102" i="6" a="1"/>
  <c r="J102" i="6" s="1"/>
  <c r="J103" i="6" a="1"/>
  <c r="J103" i="6" s="1"/>
  <c r="J104" i="6" a="1"/>
  <c r="J104" i="6" s="1"/>
  <c r="J105" i="6" a="1"/>
  <c r="J105" i="6" s="1"/>
  <c r="J106" i="6" a="1"/>
  <c r="J106" i="6" s="1"/>
  <c r="J107" i="6" a="1"/>
  <c r="J107" i="6" s="1"/>
  <c r="J108" i="6" a="1"/>
  <c r="J108" i="6" s="1"/>
  <c r="J109" i="6" a="1"/>
  <c r="J109" i="6" s="1"/>
  <c r="J110" i="6" a="1"/>
  <c r="J110" i="6" s="1"/>
  <c r="J111" i="6" a="1"/>
  <c r="J111" i="6" s="1"/>
  <c r="J112" i="6" a="1"/>
  <c r="J112" i="6" s="1"/>
  <c r="J113" i="6" a="1"/>
  <c r="J113" i="6" s="1"/>
  <c r="J114" i="6" a="1"/>
  <c r="J114" i="6" s="1"/>
  <c r="J115" i="6" a="1"/>
  <c r="J115" i="6" s="1"/>
  <c r="J116" i="6" a="1"/>
  <c r="J116" i="6" s="1"/>
  <c r="J117" i="6" a="1"/>
  <c r="J117" i="6" s="1"/>
  <c r="J118" i="6" a="1"/>
  <c r="J118" i="6" s="1"/>
  <c r="J119" i="6" a="1"/>
  <c r="J119" i="6" s="1"/>
  <c r="J120" i="6" a="1"/>
  <c r="J120" i="6" s="1"/>
  <c r="J121" i="6" a="1"/>
  <c r="J121" i="6" s="1"/>
  <c r="J122" i="6" a="1"/>
  <c r="J122" i="6" s="1"/>
  <c r="J123" i="6" a="1"/>
  <c r="J123" i="6" s="1"/>
  <c r="J124" i="6" a="1"/>
  <c r="J124" i="6" s="1"/>
  <c r="J125" i="6" a="1"/>
  <c r="J125" i="6" s="1"/>
  <c r="J126" i="6" a="1"/>
  <c r="J126" i="6" s="1"/>
  <c r="J127" i="6" a="1"/>
  <c r="J127" i="6" s="1"/>
  <c r="J128" i="6" a="1"/>
  <c r="J128" i="6" s="1"/>
  <c r="J129" i="6" a="1"/>
  <c r="J129" i="6" s="1"/>
  <c r="J130" i="6" a="1"/>
  <c r="J130" i="6" s="1"/>
  <c r="J131" i="6" a="1"/>
  <c r="J131" i="6" s="1"/>
  <c r="J132" i="6" a="1"/>
  <c r="J132" i="6" s="1"/>
  <c r="J133" i="6" a="1"/>
  <c r="J133" i="6" s="1"/>
  <c r="J2" i="6" a="1"/>
  <c r="J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<sst xmlns="http://schemas.openxmlformats.org/spreadsheetml/2006/main" count="655" uniqueCount="168">
  <si>
    <t>Föreningen Uppsala Voltige</t>
  </si>
  <si>
    <t>Annelie Lundgren</t>
  </si>
  <si>
    <t>Hamre Ridklubb</t>
  </si>
  <si>
    <t>SE</t>
  </si>
  <si>
    <t>Fanny Eklund</t>
  </si>
  <si>
    <t>Sofia Ekström</t>
  </si>
  <si>
    <t>Christina Müller</t>
  </si>
  <si>
    <t>Sala Voltige och Hästsportförening</t>
  </si>
  <si>
    <t>Serenade</t>
  </si>
  <si>
    <t>Sofia Fågelsbo</t>
  </si>
  <si>
    <t>-</t>
  </si>
  <si>
    <t>Isabelle Rasmussen</t>
  </si>
  <si>
    <t>Emilia Bäck</t>
  </si>
  <si>
    <t>Linda Jenvall</t>
  </si>
  <si>
    <t>Calouha</t>
  </si>
  <si>
    <t>Lagga Fältrittklubb</t>
  </si>
  <si>
    <t>Ebba Wallqvist</t>
  </si>
  <si>
    <t>Meja Högberg</t>
  </si>
  <si>
    <t>Silver</t>
  </si>
  <si>
    <t>Gladiator VDH</t>
  </si>
  <si>
    <t>Marie Johansson</t>
  </si>
  <si>
    <t>Ellen Eriksson</t>
  </si>
  <si>
    <t>Anna-Tuva Andersson</t>
  </si>
  <si>
    <t>Olivia Nyberg</t>
  </si>
  <si>
    <t>Henny Lind</t>
  </si>
  <si>
    <t>Lovis Berg</t>
  </si>
  <si>
    <t>Ariah Fischer</t>
  </si>
  <si>
    <t>Nelia Palmius</t>
  </si>
  <si>
    <t>Sigrid Stidelius</t>
  </si>
  <si>
    <t>Nikki Gladh</t>
  </si>
  <si>
    <t>Elna Stidelius</t>
  </si>
  <si>
    <t>Linnéa Lif</t>
  </si>
  <si>
    <t>Livia Duymaz</t>
  </si>
  <si>
    <t>Lilly Hedlund</t>
  </si>
  <si>
    <t>Filippa Olofsson</t>
  </si>
  <si>
    <t>Julia Ekblom</t>
  </si>
  <si>
    <t>Vera Bjarnemo</t>
  </si>
  <si>
    <t>Cecilia Viklund</t>
  </si>
  <si>
    <t>Tyra Karlsson</t>
  </si>
  <si>
    <t>Elly Malta</t>
  </si>
  <si>
    <t>Timrå Hästsportförening</t>
  </si>
  <si>
    <t>Farrakech (SWB)</t>
  </si>
  <si>
    <t>Charlz (SWB)</t>
  </si>
  <si>
    <t>Cecilia Rasmussen</t>
  </si>
  <si>
    <t>Linda Viklund</t>
  </si>
  <si>
    <t>Svår klass, Seniorlag</t>
  </si>
  <si>
    <t>Svår klass, Juniorlag</t>
  </si>
  <si>
    <t>Individuell senior 3*</t>
  </si>
  <si>
    <t>Individuell senior 2*</t>
  </si>
  <si>
    <t>Individuell senior 1*</t>
  </si>
  <si>
    <t>Individuell young vaulter</t>
  </si>
  <si>
    <t>Individuell junior 2*</t>
  </si>
  <si>
    <t>Individuell junior 1*</t>
  </si>
  <si>
    <t>Individuell minior 1*</t>
  </si>
  <si>
    <t>Pas de deux</t>
  </si>
  <si>
    <t>Mellanklass, lag</t>
  </si>
  <si>
    <t>Mixklass 1*</t>
  </si>
  <si>
    <t>Mixklass 0*</t>
  </si>
  <si>
    <t>Lättklass, lag</t>
  </si>
  <si>
    <t>Skrittklass, lag typ 1</t>
  </si>
  <si>
    <t>Skrittklass, lag typ 2</t>
  </si>
  <si>
    <t>Lättklass, Individuell</t>
  </si>
  <si>
    <t>Skrittklass, individuell</t>
  </si>
  <si>
    <t>Skrittklass, pas de deux</t>
  </si>
  <si>
    <t>Tuva Wipemo</t>
  </si>
  <si>
    <t>Cortesch (SWB)</t>
  </si>
  <si>
    <t>Andrea Raud</t>
  </si>
  <si>
    <t>Amanda Lundén Pliscovaz</t>
  </si>
  <si>
    <t>Malin Folgerö</t>
  </si>
  <si>
    <t>Julia Kristensson</t>
  </si>
  <si>
    <t>Tindra Öberg</t>
  </si>
  <si>
    <t>Novalie Wall</t>
  </si>
  <si>
    <t>Ebba Holmberg</t>
  </si>
  <si>
    <t>Thea Lundell</t>
  </si>
  <si>
    <t>Elda Lindberg</t>
  </si>
  <si>
    <t>Linnea Jennische</t>
  </si>
  <si>
    <t>Wilma Ericson Flack</t>
  </si>
  <si>
    <t>Agnes Kumm</t>
  </si>
  <si>
    <t>Alicia Ramberg</t>
  </si>
  <si>
    <t>Agnes Viklund</t>
  </si>
  <si>
    <t>Enzo Folgerö</t>
  </si>
  <si>
    <t>Mira Bergqvist</t>
  </si>
  <si>
    <t>Mollie Strandberg</t>
  </si>
  <si>
    <t>Louise Hörnstedt</t>
  </si>
  <si>
    <t>Svea Torssander</t>
  </si>
  <si>
    <t>Nova Lindgren</t>
  </si>
  <si>
    <t>Alma Bjarnemo</t>
  </si>
  <si>
    <t>Melina Vesterholm</t>
  </si>
  <si>
    <t>Milou Hallgren</t>
  </si>
  <si>
    <t>Meja Bergqvist</t>
  </si>
  <si>
    <t>Moa Jansson</t>
  </si>
  <si>
    <t>Julia Elvnäs</t>
  </si>
  <si>
    <t>Noelia Vega Santibanez</t>
  </si>
  <si>
    <t>Haylie Rebane</t>
  </si>
  <si>
    <t>Ebba Fasthamre</t>
  </si>
  <si>
    <t>Denice Sundberg</t>
  </si>
  <si>
    <t>Elsa Söderberg</t>
  </si>
  <si>
    <t>Ronja Berggren</t>
  </si>
  <si>
    <t>Föreningen Skästa Ridcenter</t>
  </si>
  <si>
    <t>Hembys Bellman</t>
  </si>
  <si>
    <t>Diamond</t>
  </si>
  <si>
    <t>Castell (SWB)</t>
  </si>
  <si>
    <t>Iniesta</t>
  </si>
  <si>
    <t>Klondike</t>
  </si>
  <si>
    <t>Rondento Victoire</t>
  </si>
  <si>
    <t>Turbic Boy (SWB)</t>
  </si>
  <si>
    <t>Zara</t>
  </si>
  <si>
    <t>Odinn</t>
  </si>
  <si>
    <t>JoAnna Bäck</t>
  </si>
  <si>
    <t>Jenny Rova</t>
  </si>
  <si>
    <t>Connie Rebane</t>
  </si>
  <si>
    <t>Maria Kumm</t>
  </si>
  <si>
    <t>Erika Hansen</t>
  </si>
  <si>
    <t>Startordning:, 1. Fanny Eklund , 2. Ebba Wallqvist , 3. Emilia Bäck , , Grund och tekniskt i olika inspring</t>
  </si>
  <si>
    <t>Grund och teknisk i olika inspring. Ordning Fanny,Ebba,Emilia</t>
  </si>
  <si>
    <t>Elda tävlar för Uppsala Voltige</t>
  </si>
  <si>
    <t>Så långt som möjligt mellan Iniesta och Klondike</t>
  </si>
  <si>
    <t>Så långt som möjligt mellan Iniesta och Klondike. , Klondike är helt ny och detta är hans första tävling.</t>
  </si>
  <si>
    <t>Missade att fylla i ”sena ändringar” och önskar det som tillägg.</t>
  </si>
  <si>
    <t>Team Atlas, Startordning, 1 Mollie strandberg , 2 Nova Lindgren , 3 Enzo folgerö , 4 Mira Bergqvist, 5 Louise Hörnstedt, 6 Svea Torssander</t>
  </si>
  <si>
    <t>Uppsala Team Andromeda, , Startordning: Ariah, Elna, Nelia, Alma, Sigrid.</t>
  </si>
  <si>
    <t>Uppsala Team Andromeda Blå, , Det andra laget kan heta Andromeda Svart</t>
  </si>
  <si>
    <t>Team Eros , Startordning:, 1. Milou Hallgren, 2. Meja Bergqvist, 3. Moa Jansson, 4. Julia Elvnäs , 5. Noelia Vega Santibanez</t>
  </si>
  <si>
    <t>Mia kumm linför,  connie värmer upp,</t>
  </si>
  <si>
    <t>Höger varv</t>
  </si>
  <si>
    <t>Tävlar för Uppsala Voltige</t>
  </si>
  <si>
    <t>My Lindström</t>
  </si>
  <si>
    <t>Ella Eriksson</t>
  </si>
  <si>
    <t>Linnea Pedersen</t>
  </si>
  <si>
    <t>Selma Åkesson</t>
  </si>
  <si>
    <t>Fortuna Voltigeförening</t>
  </si>
  <si>
    <t>Crisanto S</t>
  </si>
  <si>
    <t>Halving</t>
  </si>
  <si>
    <t>Angelica Thunman</t>
  </si>
  <si>
    <t>Visa klasser ej</t>
  </si>
  <si>
    <t xml:space="preserve">33 3 domare 34 för 4 domare </t>
  </si>
  <si>
    <t>44 2 domare</t>
  </si>
  <si>
    <t>1058 2 domare</t>
  </si>
  <si>
    <t>43 2 domare</t>
  </si>
  <si>
    <t>45 2 domare</t>
  </si>
  <si>
    <t>1055 2 domare</t>
  </si>
  <si>
    <t>Andromeda Blå</t>
  </si>
  <si>
    <t>Svår klass lag seniorer klass 1 – Grund</t>
  </si>
  <si>
    <t>Svår klass individuella klass  3, 4, 5, 6, 7, 8  – Grund/tekn kür</t>
  </si>
  <si>
    <t>Skrittklass Lag grund och kür klass 15, 16</t>
  </si>
  <si>
    <t>Skrittklass, Lätt klass, individuell 17, 18</t>
  </si>
  <si>
    <t>Svår klass lag seniorer klass 1 – Kür</t>
  </si>
  <si>
    <t>Svår klass individuella klass 3, 4, 5, 6, 7, 8  – Kür</t>
  </si>
  <si>
    <t>Mixklass klass 12</t>
  </si>
  <si>
    <t>Elvira Androos</t>
  </si>
  <si>
    <t>Selma Ouled El Housseine</t>
  </si>
  <si>
    <t>Tilda Månsson</t>
  </si>
  <si>
    <t>Signe Säfström</t>
  </si>
  <si>
    <t>Mila Thulin</t>
  </si>
  <si>
    <t>Felicia Söderman</t>
  </si>
  <si>
    <t>Hedvig Säfström</t>
  </si>
  <si>
    <t>52 = mer än 6 deltagare</t>
  </si>
  <si>
    <t>Indus</t>
  </si>
  <si>
    <t>Eros</t>
  </si>
  <si>
    <t>Atlas</t>
  </si>
  <si>
    <t xml:space="preserve"> Athena</t>
  </si>
  <si>
    <t xml:space="preserve">P V - Skrittklass lag typ 1 </t>
  </si>
  <si>
    <t>Andromeda Svart</t>
  </si>
  <si>
    <t>Cortesch_(SWB)</t>
  </si>
  <si>
    <t>51 3 domare</t>
  </si>
  <si>
    <t>1059 3 domare</t>
  </si>
  <si>
    <t>Lätt klass individuell skritt</t>
  </si>
  <si>
    <t>Orlando Van't Merodehof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</si>
</sst>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;@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F2E5-6899-46F5-9321-2C1C9A178868}">
  <dimension ref="A1:G30"/>
  <sheetViews>
    <sheetView topLeftCell="A8" workbookViewId="0">
      <selection activeCell="B21" sqref="B21:C21"/>
    </sheetView>
  </sheetViews>
  <sheetFormatPr defaultRowHeight="14.25" x14ac:dyDescent="0.45"/>
  <cols>
    <col min="1" max="1" width="18.33203125" style="2" customWidth="1"/>
    <col min="2" max="2" width="2.73046875" bestFit="1" customWidth="1"/>
    <col min="3" max="3" width="52.59765625" bestFit="1" customWidth="1"/>
    <col min="4" max="4" width="6.73046875" bestFit="1" customWidth="1"/>
    <col min="6" max="6" width="26.06640625" customWidth="1"/>
  </cols>
  <sheetData>
    <row r="1" spans="1:7" x14ac:dyDescent="0.45">
      <c r="A1" s="2">
        <v>45935.416666666664</v>
      </c>
      <c r="B1" s="3">
        <v>43</v>
      </c>
      <c r="C1" s="3" t="s">
        <v>144</v>
      </c>
      <c r="D1">
        <v>700</v>
      </c>
      <c r="E1">
        <v>999</v>
      </c>
      <c r="F1" s="5" t="s">
        <v>161</v>
      </c>
      <c r="G1">
        <v>1</v>
      </c>
    </row>
    <row r="2" spans="1:7" x14ac:dyDescent="0.45">
      <c r="B2" s="3">
        <v>43</v>
      </c>
      <c r="C2" s="3" t="s">
        <v>144</v>
      </c>
      <c r="D2">
        <v>700</v>
      </c>
      <c r="E2">
        <v>999</v>
      </c>
      <c r="F2" s="5" t="s">
        <v>161</v>
      </c>
      <c r="G2">
        <v>2</v>
      </c>
    </row>
    <row r="3" spans="1:7" x14ac:dyDescent="0.45">
      <c r="B3" s="3">
        <v>43</v>
      </c>
      <c r="C3" s="3" t="s">
        <v>144</v>
      </c>
      <c r="D3">
        <v>769951</v>
      </c>
      <c r="E3">
        <v>15</v>
      </c>
      <c r="F3" t="s">
        <v>59</v>
      </c>
      <c r="G3">
        <v>1</v>
      </c>
    </row>
    <row r="4" spans="1:7" x14ac:dyDescent="0.45">
      <c r="B4" s="3">
        <v>43</v>
      </c>
      <c r="C4" s="3" t="s">
        <v>144</v>
      </c>
      <c r="D4">
        <v>769951</v>
      </c>
      <c r="E4">
        <v>15</v>
      </c>
      <c r="F4" t="s">
        <v>59</v>
      </c>
      <c r="G4">
        <v>2</v>
      </c>
    </row>
    <row r="5" spans="1:7" x14ac:dyDescent="0.45">
      <c r="B5" s="3">
        <v>43</v>
      </c>
      <c r="C5" s="3" t="s">
        <v>144</v>
      </c>
      <c r="D5">
        <v>769952</v>
      </c>
      <c r="E5">
        <v>16</v>
      </c>
      <c r="F5" t="s">
        <v>60</v>
      </c>
      <c r="G5">
        <v>1</v>
      </c>
    </row>
    <row r="6" spans="1:7" x14ac:dyDescent="0.45">
      <c r="B6" s="3">
        <v>43</v>
      </c>
      <c r="C6" s="3" t="s">
        <v>144</v>
      </c>
      <c r="D6">
        <v>769952</v>
      </c>
      <c r="E6">
        <v>16</v>
      </c>
      <c r="F6" t="s">
        <v>60</v>
      </c>
      <c r="G6">
        <v>2</v>
      </c>
    </row>
    <row r="7" spans="1:7" x14ac:dyDescent="0.45">
      <c r="B7" s="3">
        <v>52</v>
      </c>
      <c r="C7" s="3" t="s">
        <v>148</v>
      </c>
      <c r="D7">
        <v>769949</v>
      </c>
      <c r="E7">
        <v>13</v>
      </c>
      <c r="F7" t="s">
        <v>57</v>
      </c>
      <c r="G7">
        <v>1</v>
      </c>
    </row>
    <row r="8" spans="1:7" x14ac:dyDescent="0.45">
      <c r="B8" s="3">
        <v>52</v>
      </c>
      <c r="C8" s="3" t="s">
        <v>148</v>
      </c>
      <c r="D8">
        <v>769949</v>
      </c>
      <c r="E8">
        <v>13</v>
      </c>
      <c r="F8" t="s">
        <v>57</v>
      </c>
      <c r="G8">
        <v>2</v>
      </c>
    </row>
    <row r="9" spans="1:7" x14ac:dyDescent="0.45">
      <c r="B9" s="3">
        <v>18</v>
      </c>
      <c r="C9" s="3" t="s">
        <v>142</v>
      </c>
      <c r="D9">
        <v>769936</v>
      </c>
      <c r="E9">
        <v>1</v>
      </c>
      <c r="F9" t="s">
        <v>45</v>
      </c>
      <c r="G9">
        <v>1</v>
      </c>
    </row>
    <row r="10" spans="1:7" x14ac:dyDescent="0.45">
      <c r="B10" s="3">
        <v>1</v>
      </c>
      <c r="C10" s="4" t="s">
        <v>143</v>
      </c>
      <c r="D10">
        <v>769939</v>
      </c>
      <c r="E10">
        <v>3</v>
      </c>
      <c r="F10" t="s">
        <v>47</v>
      </c>
      <c r="G10">
        <v>1</v>
      </c>
    </row>
    <row r="11" spans="1:7" x14ac:dyDescent="0.45">
      <c r="B11" s="3">
        <v>1</v>
      </c>
      <c r="C11" s="4" t="s">
        <v>143</v>
      </c>
      <c r="D11">
        <v>769939</v>
      </c>
      <c r="E11">
        <v>3</v>
      </c>
      <c r="F11" t="s">
        <v>47</v>
      </c>
      <c r="G11">
        <v>2</v>
      </c>
    </row>
    <row r="12" spans="1:7" x14ac:dyDescent="0.45">
      <c r="B12" s="3">
        <v>1</v>
      </c>
      <c r="C12" s="4" t="s">
        <v>143</v>
      </c>
      <c r="D12">
        <v>769940</v>
      </c>
      <c r="E12">
        <v>4</v>
      </c>
      <c r="F12" t="s">
        <v>48</v>
      </c>
      <c r="G12">
        <v>1</v>
      </c>
    </row>
    <row r="13" spans="1:7" x14ac:dyDescent="0.45">
      <c r="B13" s="3">
        <v>1</v>
      </c>
      <c r="C13" s="4" t="s">
        <v>143</v>
      </c>
      <c r="D13">
        <v>769941</v>
      </c>
      <c r="E13">
        <v>5</v>
      </c>
      <c r="F13" t="s">
        <v>49</v>
      </c>
      <c r="G13">
        <v>1</v>
      </c>
    </row>
    <row r="14" spans="1:7" x14ac:dyDescent="0.45">
      <c r="B14" s="3">
        <v>1</v>
      </c>
      <c r="C14" s="4" t="s">
        <v>143</v>
      </c>
      <c r="D14">
        <v>769942</v>
      </c>
      <c r="E14">
        <v>6</v>
      </c>
      <c r="F14" t="s">
        <v>50</v>
      </c>
      <c r="G14">
        <v>1</v>
      </c>
    </row>
    <row r="15" spans="1:7" x14ac:dyDescent="0.45">
      <c r="B15" s="3">
        <v>1</v>
      </c>
      <c r="C15" s="4" t="s">
        <v>143</v>
      </c>
      <c r="D15">
        <v>769942</v>
      </c>
      <c r="E15">
        <v>6</v>
      </c>
      <c r="F15" t="s">
        <v>50</v>
      </c>
      <c r="G15">
        <v>2</v>
      </c>
    </row>
    <row r="16" spans="1:7" x14ac:dyDescent="0.45">
      <c r="B16" s="3">
        <v>1</v>
      </c>
      <c r="C16" s="4" t="s">
        <v>143</v>
      </c>
      <c r="D16">
        <v>769943</v>
      </c>
      <c r="E16">
        <v>7</v>
      </c>
      <c r="F16" t="s">
        <v>51</v>
      </c>
      <c r="G16">
        <v>1</v>
      </c>
    </row>
    <row r="17" spans="2:7" x14ac:dyDescent="0.45">
      <c r="B17" s="3">
        <v>1</v>
      </c>
      <c r="C17" s="4" t="s">
        <v>143</v>
      </c>
      <c r="D17">
        <v>769944</v>
      </c>
      <c r="E17">
        <v>8</v>
      </c>
      <c r="F17" t="s">
        <v>52</v>
      </c>
      <c r="G17">
        <v>1</v>
      </c>
    </row>
    <row r="18" spans="2:7" x14ac:dyDescent="0.45">
      <c r="B18" s="3">
        <v>1</v>
      </c>
      <c r="C18" s="4" t="s">
        <v>143</v>
      </c>
      <c r="D18">
        <v>769945</v>
      </c>
      <c r="E18">
        <v>9</v>
      </c>
      <c r="F18" t="s">
        <v>53</v>
      </c>
      <c r="G18">
        <v>1</v>
      </c>
    </row>
    <row r="19" spans="2:7" x14ac:dyDescent="0.45">
      <c r="B19" s="3">
        <v>46</v>
      </c>
      <c r="C19" s="3" t="s">
        <v>145</v>
      </c>
      <c r="D19">
        <v>769953</v>
      </c>
      <c r="E19">
        <v>17</v>
      </c>
      <c r="F19" t="s">
        <v>61</v>
      </c>
      <c r="G19">
        <v>1</v>
      </c>
    </row>
    <row r="20" spans="2:7" x14ac:dyDescent="0.45">
      <c r="B20" s="3">
        <v>46</v>
      </c>
      <c r="C20" s="3" t="s">
        <v>145</v>
      </c>
      <c r="D20">
        <v>769953</v>
      </c>
      <c r="E20">
        <v>17</v>
      </c>
      <c r="F20" t="s">
        <v>61</v>
      </c>
      <c r="G20">
        <v>2</v>
      </c>
    </row>
    <row r="21" spans="2:7" x14ac:dyDescent="0.45">
      <c r="B21" s="3">
        <v>39</v>
      </c>
      <c r="C21" s="3" t="s">
        <v>166</v>
      </c>
      <c r="D21">
        <v>769954</v>
      </c>
      <c r="E21">
        <v>18</v>
      </c>
      <c r="F21" t="s">
        <v>62</v>
      </c>
      <c r="G21">
        <v>1</v>
      </c>
    </row>
    <row r="22" spans="2:7" x14ac:dyDescent="0.45">
      <c r="B22" s="3">
        <v>39</v>
      </c>
      <c r="C22" s="3" t="s">
        <v>166</v>
      </c>
      <c r="D22">
        <v>769954</v>
      </c>
      <c r="E22">
        <v>18</v>
      </c>
      <c r="F22" t="s">
        <v>62</v>
      </c>
      <c r="G22">
        <v>2</v>
      </c>
    </row>
    <row r="23" spans="2:7" x14ac:dyDescent="0.45">
      <c r="B23" s="3">
        <v>7</v>
      </c>
      <c r="C23" s="3" t="s">
        <v>146</v>
      </c>
      <c r="D23">
        <v>769936</v>
      </c>
      <c r="E23">
        <v>1</v>
      </c>
      <c r="F23" t="s">
        <v>45</v>
      </c>
      <c r="G23">
        <v>2</v>
      </c>
    </row>
    <row r="24" spans="2:7" x14ac:dyDescent="0.45">
      <c r="B24" s="3">
        <v>2</v>
      </c>
      <c r="C24" s="3" t="s">
        <v>147</v>
      </c>
      <c r="D24">
        <v>769939</v>
      </c>
      <c r="E24">
        <v>3</v>
      </c>
      <c r="F24" t="s">
        <v>47</v>
      </c>
      <c r="G24">
        <v>3</v>
      </c>
    </row>
    <row r="25" spans="2:7" x14ac:dyDescent="0.45">
      <c r="B25" s="3">
        <v>2</v>
      </c>
      <c r="C25" s="3" t="s">
        <v>147</v>
      </c>
      <c r="D25">
        <v>769940</v>
      </c>
      <c r="E25">
        <v>4</v>
      </c>
      <c r="F25" t="s">
        <v>48</v>
      </c>
      <c r="G25">
        <v>2</v>
      </c>
    </row>
    <row r="26" spans="2:7" x14ac:dyDescent="0.45">
      <c r="B26" s="3">
        <v>2</v>
      </c>
      <c r="C26" s="3" t="s">
        <v>147</v>
      </c>
      <c r="D26">
        <v>769941</v>
      </c>
      <c r="E26">
        <v>5</v>
      </c>
      <c r="F26" t="s">
        <v>49</v>
      </c>
      <c r="G26">
        <v>2</v>
      </c>
    </row>
    <row r="27" spans="2:7" x14ac:dyDescent="0.45">
      <c r="B27" s="3">
        <v>2</v>
      </c>
      <c r="C27" s="3" t="s">
        <v>147</v>
      </c>
      <c r="D27">
        <v>769942</v>
      </c>
      <c r="E27">
        <v>6</v>
      </c>
      <c r="F27" t="s">
        <v>50</v>
      </c>
      <c r="G27">
        <v>3</v>
      </c>
    </row>
    <row r="28" spans="2:7" x14ac:dyDescent="0.45">
      <c r="B28" s="3">
        <v>2</v>
      </c>
      <c r="C28" s="3" t="s">
        <v>147</v>
      </c>
      <c r="D28">
        <v>769943</v>
      </c>
      <c r="E28">
        <v>7</v>
      </c>
      <c r="F28" t="s">
        <v>51</v>
      </c>
      <c r="G28">
        <v>2</v>
      </c>
    </row>
    <row r="29" spans="2:7" x14ac:dyDescent="0.45">
      <c r="B29" s="3">
        <v>2</v>
      </c>
      <c r="C29" s="3" t="s">
        <v>147</v>
      </c>
      <c r="D29">
        <v>769944</v>
      </c>
      <c r="E29">
        <v>8</v>
      </c>
      <c r="F29" t="s">
        <v>52</v>
      </c>
      <c r="G29">
        <v>2</v>
      </c>
    </row>
    <row r="30" spans="2:7" x14ac:dyDescent="0.45">
      <c r="B30" s="3">
        <v>2</v>
      </c>
      <c r="C30" s="3" t="s">
        <v>147</v>
      </c>
      <c r="D30">
        <v>769945</v>
      </c>
      <c r="E30">
        <v>9</v>
      </c>
      <c r="F30" t="s">
        <v>53</v>
      </c>
      <c r="G3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3B0E3-2027-4083-B582-AAB0C4C3F786}">
  <dimension ref="A1:AA52"/>
  <sheetViews>
    <sheetView tabSelected="1" topLeftCell="F1" zoomScale="70" zoomScaleNormal="70" workbookViewId="0">
      <selection activeCell="F31" sqref="F31"/>
    </sheetView>
  </sheetViews>
  <sheetFormatPr defaultRowHeight="14.25" x14ac:dyDescent="0.45"/>
  <cols>
    <col min="3" max="3" width="26.3984375" customWidth="1"/>
    <col min="5" max="5" width="32.59765625" customWidth="1"/>
    <col min="6" max="6" width="12.1328125" customWidth="1"/>
    <col min="7" max="7" width="26.59765625" customWidth="1"/>
    <col min="8" max="8" width="15.73046875" customWidth="1"/>
    <col min="9" max="9" width="13.86328125" customWidth="1"/>
    <col min="10" max="10" width="14.265625" customWidth="1"/>
    <col min="11" max="11" width="40.73046875" customWidth="1"/>
    <col min="12" max="13" width="114.3984375" customWidth="1"/>
    <col min="15" max="15" width="18.265625" customWidth="1"/>
    <col min="17" max="17" width="19.265625" customWidth="1"/>
    <col min="19" max="19" width="22.73046875" customWidth="1"/>
    <col min="20" max="20" width="18" customWidth="1"/>
    <col min="21" max="21" width="18.73046875" customWidth="1"/>
    <col min="23" max="23" width="11.1328125" customWidth="1"/>
  </cols>
  <sheetData>
    <row r="1" spans="1:27" x14ac:dyDescent="0.45">
      <c r="A1">
        <v>700</v>
      </c>
      <c r="B1">
        <v>999</v>
      </c>
      <c r="C1" s="5" t="s">
        <v>161</v>
      </c>
      <c r="D1">
        <v>57688</v>
      </c>
      <c r="E1" t="s">
        <v>112</v>
      </c>
      <c r="F1">
        <v>339009</v>
      </c>
      <c r="G1" t="s">
        <v>107</v>
      </c>
      <c r="J1">
        <v>223</v>
      </c>
      <c r="K1" t="s">
        <v>0</v>
      </c>
      <c r="M1" t="s">
        <v>157</v>
      </c>
      <c r="N1">
        <v>90</v>
      </c>
      <c r="O1" t="s">
        <v>149</v>
      </c>
      <c r="P1">
        <v>91</v>
      </c>
      <c r="Q1" t="s">
        <v>150</v>
      </c>
      <c r="R1">
        <v>92</v>
      </c>
      <c r="S1" t="s">
        <v>151</v>
      </c>
      <c r="T1">
        <v>93</v>
      </c>
      <c r="U1" t="s">
        <v>152</v>
      </c>
      <c r="V1">
        <v>94</v>
      </c>
      <c r="W1" t="s">
        <v>153</v>
      </c>
      <c r="X1">
        <v>95</v>
      </c>
      <c r="Y1" t="s">
        <v>154</v>
      </c>
      <c r="Z1">
        <v>96</v>
      </c>
      <c r="AA1" t="s">
        <v>155</v>
      </c>
    </row>
    <row r="2" spans="1:27" x14ac:dyDescent="0.45">
      <c r="A2">
        <v>769936</v>
      </c>
      <c r="B2">
        <v>1</v>
      </c>
      <c r="C2" t="s">
        <v>45</v>
      </c>
      <c r="D2">
        <v>68838</v>
      </c>
      <c r="E2" t="s">
        <v>20</v>
      </c>
      <c r="F2">
        <v>308300</v>
      </c>
      <c r="G2" t="s">
        <v>19</v>
      </c>
      <c r="J2">
        <v>1330</v>
      </c>
      <c r="K2" t="s">
        <v>7</v>
      </c>
      <c r="M2" t="s">
        <v>160</v>
      </c>
      <c r="N2">
        <v>164696</v>
      </c>
      <c r="O2" t="s">
        <v>67</v>
      </c>
      <c r="P2">
        <v>195030</v>
      </c>
      <c r="Q2" t="s">
        <v>39</v>
      </c>
      <c r="R2">
        <v>203320</v>
      </c>
      <c r="S2" t="s">
        <v>68</v>
      </c>
      <c r="T2">
        <v>155903</v>
      </c>
      <c r="U2" t="s">
        <v>69</v>
      </c>
      <c r="V2">
        <v>164698</v>
      </c>
      <c r="W2" t="s">
        <v>21</v>
      </c>
      <c r="X2">
        <v>140351</v>
      </c>
      <c r="Y2" t="s">
        <v>17</v>
      </c>
    </row>
    <row r="3" spans="1:27" x14ac:dyDescent="0.45">
      <c r="A3">
        <v>769943</v>
      </c>
      <c r="B3">
        <v>7</v>
      </c>
      <c r="C3" t="s">
        <v>51</v>
      </c>
      <c r="D3">
        <v>40552</v>
      </c>
      <c r="E3" t="s">
        <v>1</v>
      </c>
      <c r="F3">
        <v>328352</v>
      </c>
      <c r="G3" t="s">
        <v>102</v>
      </c>
      <c r="J3">
        <v>869</v>
      </c>
      <c r="K3" t="s">
        <v>2</v>
      </c>
      <c r="L3" t="s">
        <v>116</v>
      </c>
      <c r="N3">
        <v>145535</v>
      </c>
      <c r="O3" t="s">
        <v>77</v>
      </c>
    </row>
    <row r="4" spans="1:27" x14ac:dyDescent="0.45">
      <c r="A4">
        <v>769943</v>
      </c>
      <c r="B4">
        <v>7</v>
      </c>
      <c r="C4" t="s">
        <v>51</v>
      </c>
      <c r="D4">
        <v>65038</v>
      </c>
      <c r="E4" t="s">
        <v>6</v>
      </c>
      <c r="F4">
        <v>312598</v>
      </c>
      <c r="G4" t="s">
        <v>100</v>
      </c>
      <c r="J4">
        <v>223</v>
      </c>
      <c r="K4" t="s">
        <v>0</v>
      </c>
      <c r="N4">
        <v>101580</v>
      </c>
      <c r="O4" t="s">
        <v>75</v>
      </c>
    </row>
    <row r="5" spans="1:27" x14ac:dyDescent="0.45">
      <c r="A5">
        <v>769940</v>
      </c>
      <c r="B5">
        <v>4</v>
      </c>
      <c r="C5" t="s">
        <v>48</v>
      </c>
      <c r="D5">
        <v>44766</v>
      </c>
      <c r="E5" t="s">
        <v>66</v>
      </c>
      <c r="F5">
        <v>293254</v>
      </c>
      <c r="G5" t="s">
        <v>65</v>
      </c>
      <c r="J5">
        <v>223</v>
      </c>
      <c r="K5" t="s">
        <v>0</v>
      </c>
      <c r="N5">
        <v>124472</v>
      </c>
      <c r="O5" t="s">
        <v>72</v>
      </c>
    </row>
    <row r="6" spans="1:27" x14ac:dyDescent="0.45">
      <c r="A6">
        <v>769939</v>
      </c>
      <c r="B6">
        <v>3</v>
      </c>
      <c r="C6" t="s">
        <v>47</v>
      </c>
      <c r="D6">
        <v>39162</v>
      </c>
      <c r="E6" t="s">
        <v>9</v>
      </c>
      <c r="F6">
        <v>342703</v>
      </c>
      <c r="G6" t="s">
        <v>8</v>
      </c>
      <c r="J6">
        <v>1330</v>
      </c>
      <c r="K6" t="s">
        <v>7</v>
      </c>
      <c r="L6" t="s">
        <v>114</v>
      </c>
      <c r="N6">
        <v>51513</v>
      </c>
      <c r="O6" t="s">
        <v>4</v>
      </c>
    </row>
    <row r="7" spans="1:27" s="7" customFormat="1" x14ac:dyDescent="0.45">
      <c r="A7" s="7">
        <v>769943</v>
      </c>
      <c r="B7" s="7">
        <v>7</v>
      </c>
      <c r="C7" s="7" t="s">
        <v>51</v>
      </c>
      <c r="D7" s="7">
        <v>39162</v>
      </c>
      <c r="E7" s="7" t="s">
        <v>9</v>
      </c>
      <c r="F7" s="7">
        <v>342703</v>
      </c>
      <c r="G7" s="7" t="s">
        <v>8</v>
      </c>
      <c r="J7" s="7">
        <v>223</v>
      </c>
      <c r="K7" s="7" t="s">
        <v>0</v>
      </c>
      <c r="N7" s="7">
        <v>155140</v>
      </c>
      <c r="O7" s="7" t="s">
        <v>16</v>
      </c>
    </row>
    <row r="8" spans="1:27" x14ac:dyDescent="0.45">
      <c r="A8">
        <v>769943</v>
      </c>
      <c r="B8">
        <v>7</v>
      </c>
      <c r="C8" t="s">
        <v>51</v>
      </c>
      <c r="D8">
        <v>95073</v>
      </c>
      <c r="E8" t="s">
        <v>133</v>
      </c>
      <c r="F8">
        <v>279357</v>
      </c>
      <c r="G8" t="s">
        <v>132</v>
      </c>
      <c r="J8">
        <v>1198</v>
      </c>
      <c r="K8" t="s">
        <v>130</v>
      </c>
      <c r="N8">
        <v>97</v>
      </c>
      <c r="O8" t="s">
        <v>5</v>
      </c>
    </row>
    <row r="9" spans="1:27" x14ac:dyDescent="0.45">
      <c r="A9">
        <v>769940</v>
      </c>
      <c r="B9">
        <v>4</v>
      </c>
      <c r="C9" t="s">
        <v>48</v>
      </c>
      <c r="D9">
        <v>44766</v>
      </c>
      <c r="E9" t="s">
        <v>66</v>
      </c>
      <c r="F9">
        <v>123</v>
      </c>
      <c r="G9" t="s">
        <v>163</v>
      </c>
      <c r="J9">
        <v>223</v>
      </c>
      <c r="K9" t="s">
        <v>0</v>
      </c>
      <c r="N9">
        <v>160950</v>
      </c>
      <c r="O9" t="s">
        <v>73</v>
      </c>
    </row>
    <row r="10" spans="1:27" s="7" customFormat="1" x14ac:dyDescent="0.45">
      <c r="A10" s="7">
        <v>769939</v>
      </c>
      <c r="B10" s="7">
        <v>3</v>
      </c>
      <c r="C10" s="7" t="s">
        <v>47</v>
      </c>
      <c r="D10" s="7">
        <v>39162</v>
      </c>
      <c r="E10" s="7" t="s">
        <v>9</v>
      </c>
      <c r="F10" s="7">
        <v>342703</v>
      </c>
      <c r="G10" s="7" t="s">
        <v>8</v>
      </c>
      <c r="J10" s="7">
        <v>1330</v>
      </c>
      <c r="K10" s="7" t="s">
        <v>7</v>
      </c>
      <c r="L10" s="7" t="s">
        <v>113</v>
      </c>
      <c r="N10" s="7">
        <v>99453</v>
      </c>
      <c r="O10" s="7" t="s">
        <v>12</v>
      </c>
    </row>
    <row r="11" spans="1:27" x14ac:dyDescent="0.45">
      <c r="A11">
        <v>769940</v>
      </c>
      <c r="B11">
        <v>4</v>
      </c>
      <c r="C11" t="s">
        <v>48</v>
      </c>
      <c r="D11">
        <v>40552</v>
      </c>
      <c r="E11" t="s">
        <v>1</v>
      </c>
      <c r="F11">
        <v>354215</v>
      </c>
      <c r="G11" t="s">
        <v>131</v>
      </c>
      <c r="J11">
        <v>869</v>
      </c>
      <c r="K11" t="s">
        <v>2</v>
      </c>
      <c r="N11">
        <v>106236</v>
      </c>
      <c r="O11" t="s">
        <v>126</v>
      </c>
    </row>
    <row r="12" spans="1:27" x14ac:dyDescent="0.45">
      <c r="A12">
        <v>769941</v>
      </c>
      <c r="B12">
        <v>5</v>
      </c>
      <c r="C12" t="s">
        <v>49</v>
      </c>
      <c r="D12">
        <v>39667</v>
      </c>
      <c r="E12" t="s">
        <v>44</v>
      </c>
      <c r="F12">
        <v>342894</v>
      </c>
      <c r="G12" t="s">
        <v>42</v>
      </c>
      <c r="J12">
        <v>986</v>
      </c>
      <c r="K12" t="s">
        <v>40</v>
      </c>
      <c r="N12">
        <v>134303</v>
      </c>
      <c r="O12" t="s">
        <v>24</v>
      </c>
    </row>
    <row r="13" spans="1:27" s="7" customFormat="1" x14ac:dyDescent="0.45">
      <c r="A13" s="7">
        <v>769940</v>
      </c>
      <c r="B13" s="7">
        <v>4</v>
      </c>
      <c r="C13" s="7" t="s">
        <v>48</v>
      </c>
      <c r="D13" s="7">
        <v>36847</v>
      </c>
      <c r="E13" s="7" t="s">
        <v>13</v>
      </c>
      <c r="F13" s="7">
        <v>280330</v>
      </c>
      <c r="G13" s="7" t="s">
        <v>14</v>
      </c>
      <c r="J13" s="7">
        <v>223</v>
      </c>
      <c r="K13" s="7" t="s">
        <v>0</v>
      </c>
      <c r="N13" s="7">
        <v>101407</v>
      </c>
      <c r="O13" s="7" t="s">
        <v>70</v>
      </c>
    </row>
    <row r="14" spans="1:27" s="7" customFormat="1" x14ac:dyDescent="0.45">
      <c r="A14" s="7">
        <v>769940</v>
      </c>
      <c r="B14" s="7">
        <v>4</v>
      </c>
      <c r="C14" s="7" t="s">
        <v>48</v>
      </c>
      <c r="D14" s="7">
        <v>36847</v>
      </c>
      <c r="E14" s="7" t="s">
        <v>13</v>
      </c>
      <c r="F14" s="7">
        <v>280330</v>
      </c>
      <c r="G14" s="7" t="s">
        <v>14</v>
      </c>
      <c r="J14" s="7">
        <v>223</v>
      </c>
      <c r="K14" s="7" t="s">
        <v>0</v>
      </c>
      <c r="N14" s="7">
        <v>119893</v>
      </c>
      <c r="O14" s="7" t="s">
        <v>71</v>
      </c>
    </row>
    <row r="15" spans="1:27" x14ac:dyDescent="0.45">
      <c r="A15">
        <v>769943</v>
      </c>
      <c r="B15">
        <v>7</v>
      </c>
      <c r="C15" t="s">
        <v>51</v>
      </c>
      <c r="D15">
        <v>24976</v>
      </c>
      <c r="E15" t="s">
        <v>43</v>
      </c>
      <c r="F15">
        <v>316201</v>
      </c>
      <c r="G15" t="s">
        <v>41</v>
      </c>
      <c r="J15">
        <v>1330</v>
      </c>
      <c r="K15" t="s">
        <v>7</v>
      </c>
      <c r="N15">
        <v>155915</v>
      </c>
      <c r="O15" t="s">
        <v>11</v>
      </c>
    </row>
    <row r="16" spans="1:27" s="7" customFormat="1" x14ac:dyDescent="0.45">
      <c r="A16" s="7">
        <v>769943</v>
      </c>
      <c r="B16" s="7">
        <v>7</v>
      </c>
      <c r="C16" s="7" t="s">
        <v>51</v>
      </c>
      <c r="D16" s="7">
        <v>24976</v>
      </c>
      <c r="E16" s="7" t="s">
        <v>43</v>
      </c>
      <c r="F16" s="7">
        <v>316201</v>
      </c>
      <c r="G16" s="7" t="s">
        <v>41</v>
      </c>
      <c r="J16" s="7">
        <v>223</v>
      </c>
      <c r="K16" s="7" t="s">
        <v>0</v>
      </c>
      <c r="L16" s="7" t="s">
        <v>115</v>
      </c>
      <c r="N16" s="7">
        <v>155892</v>
      </c>
      <c r="O16" s="7" t="s">
        <v>74</v>
      </c>
    </row>
    <row r="17" spans="1:25" x14ac:dyDescent="0.45">
      <c r="A17">
        <v>769943</v>
      </c>
      <c r="B17">
        <v>7</v>
      </c>
      <c r="C17" t="s">
        <v>51</v>
      </c>
      <c r="D17">
        <v>65038</v>
      </c>
      <c r="E17" t="s">
        <v>6</v>
      </c>
      <c r="F17">
        <v>321025</v>
      </c>
      <c r="G17" t="s">
        <v>101</v>
      </c>
      <c r="J17">
        <v>223</v>
      </c>
      <c r="K17" t="s">
        <v>0</v>
      </c>
      <c r="N17">
        <v>164010</v>
      </c>
      <c r="O17" t="s">
        <v>64</v>
      </c>
    </row>
    <row r="18" spans="1:25" x14ac:dyDescent="0.45">
      <c r="A18">
        <v>769943</v>
      </c>
      <c r="B18">
        <v>7</v>
      </c>
      <c r="C18" t="s">
        <v>51</v>
      </c>
      <c r="D18">
        <v>44766</v>
      </c>
      <c r="E18" t="s">
        <v>66</v>
      </c>
      <c r="F18">
        <v>293254</v>
      </c>
      <c r="G18" t="s">
        <v>65</v>
      </c>
      <c r="J18">
        <v>223</v>
      </c>
      <c r="K18" t="s">
        <v>0</v>
      </c>
      <c r="N18">
        <v>163943</v>
      </c>
      <c r="O18" t="s">
        <v>76</v>
      </c>
    </row>
    <row r="19" spans="1:25" x14ac:dyDescent="0.45">
      <c r="A19">
        <v>769943</v>
      </c>
      <c r="B19">
        <v>7</v>
      </c>
      <c r="C19" t="s">
        <v>51</v>
      </c>
      <c r="D19">
        <v>65038</v>
      </c>
      <c r="E19" t="s">
        <v>6</v>
      </c>
      <c r="F19">
        <v>321025</v>
      </c>
      <c r="G19" t="s">
        <v>101</v>
      </c>
      <c r="J19">
        <v>223</v>
      </c>
      <c r="K19" t="s">
        <v>0</v>
      </c>
      <c r="N19">
        <v>182163</v>
      </c>
      <c r="O19" t="s">
        <v>78</v>
      </c>
    </row>
    <row r="20" spans="1:25" x14ac:dyDescent="0.45">
      <c r="A20">
        <v>769943</v>
      </c>
      <c r="B20">
        <v>7</v>
      </c>
      <c r="C20" t="s">
        <v>51</v>
      </c>
      <c r="D20">
        <v>95073</v>
      </c>
      <c r="E20" t="s">
        <v>133</v>
      </c>
      <c r="F20">
        <v>279357</v>
      </c>
      <c r="G20" t="s">
        <v>132</v>
      </c>
      <c r="J20">
        <v>1198</v>
      </c>
      <c r="K20" t="s">
        <v>130</v>
      </c>
      <c r="N20">
        <v>129688</v>
      </c>
      <c r="O20" t="s">
        <v>127</v>
      </c>
    </row>
    <row r="21" spans="1:25" x14ac:dyDescent="0.45">
      <c r="A21">
        <v>769943</v>
      </c>
      <c r="B21">
        <v>7</v>
      </c>
      <c r="C21" t="s">
        <v>51</v>
      </c>
      <c r="D21">
        <v>40552</v>
      </c>
      <c r="E21" t="s">
        <v>1</v>
      </c>
      <c r="F21">
        <v>354215</v>
      </c>
      <c r="G21" t="s">
        <v>131</v>
      </c>
      <c r="J21">
        <v>869</v>
      </c>
      <c r="K21" t="s">
        <v>2</v>
      </c>
      <c r="N21">
        <v>134608</v>
      </c>
      <c r="O21" t="s">
        <v>128</v>
      </c>
    </row>
    <row r="22" spans="1:25" x14ac:dyDescent="0.45">
      <c r="A22">
        <v>769944</v>
      </c>
      <c r="B22">
        <v>8</v>
      </c>
      <c r="C22" t="s">
        <v>52</v>
      </c>
      <c r="D22">
        <v>39667</v>
      </c>
      <c r="E22" t="s">
        <v>44</v>
      </c>
      <c r="F22">
        <v>342894</v>
      </c>
      <c r="G22" t="s">
        <v>42</v>
      </c>
      <c r="J22">
        <v>986</v>
      </c>
      <c r="K22" t="s">
        <v>40</v>
      </c>
      <c r="N22">
        <v>155124</v>
      </c>
      <c r="O22" t="s">
        <v>79</v>
      </c>
    </row>
    <row r="23" spans="1:25" x14ac:dyDescent="0.45">
      <c r="A23">
        <v>769944</v>
      </c>
      <c r="B23">
        <v>8</v>
      </c>
      <c r="C23" t="s">
        <v>52</v>
      </c>
      <c r="D23">
        <v>39667</v>
      </c>
      <c r="E23" t="s">
        <v>44</v>
      </c>
      <c r="F23">
        <v>342894</v>
      </c>
      <c r="G23" t="s">
        <v>42</v>
      </c>
      <c r="J23">
        <v>986</v>
      </c>
      <c r="K23" t="s">
        <v>40</v>
      </c>
      <c r="N23">
        <v>200328</v>
      </c>
      <c r="O23" t="s">
        <v>23</v>
      </c>
    </row>
    <row r="24" spans="1:25" x14ac:dyDescent="0.45">
      <c r="A24">
        <v>769945</v>
      </c>
      <c r="B24">
        <v>9</v>
      </c>
      <c r="C24" t="s">
        <v>53</v>
      </c>
      <c r="D24">
        <v>44766</v>
      </c>
      <c r="E24" t="s">
        <v>66</v>
      </c>
      <c r="F24">
        <v>123</v>
      </c>
      <c r="G24" t="s">
        <v>163</v>
      </c>
      <c r="J24">
        <v>223</v>
      </c>
      <c r="K24" t="s">
        <v>0</v>
      </c>
      <c r="L24" t="s">
        <v>118</v>
      </c>
      <c r="N24">
        <v>190842</v>
      </c>
      <c r="O24" t="s">
        <v>36</v>
      </c>
    </row>
    <row r="25" spans="1:25" x14ac:dyDescent="0.45">
      <c r="A25">
        <v>769945</v>
      </c>
      <c r="B25">
        <v>9</v>
      </c>
      <c r="C25" t="s">
        <v>53</v>
      </c>
      <c r="D25">
        <v>95073</v>
      </c>
      <c r="E25" t="s">
        <v>133</v>
      </c>
      <c r="F25">
        <v>279357</v>
      </c>
      <c r="G25" t="s">
        <v>132</v>
      </c>
      <c r="J25">
        <v>1198</v>
      </c>
      <c r="K25" t="s">
        <v>130</v>
      </c>
      <c r="N25">
        <v>178209</v>
      </c>
      <c r="O25" t="s">
        <v>129</v>
      </c>
    </row>
    <row r="26" spans="1:25" x14ac:dyDescent="0.45">
      <c r="A26">
        <v>769943</v>
      </c>
      <c r="B26">
        <v>7</v>
      </c>
      <c r="C26" t="s">
        <v>51</v>
      </c>
      <c r="D26">
        <v>40552</v>
      </c>
      <c r="E26" t="s">
        <v>1</v>
      </c>
      <c r="F26">
        <v>330385</v>
      </c>
      <c r="G26" t="s">
        <v>103</v>
      </c>
      <c r="J26">
        <v>869</v>
      </c>
      <c r="K26" t="s">
        <v>2</v>
      </c>
      <c r="L26" t="s">
        <v>117</v>
      </c>
      <c r="N26">
        <v>98</v>
      </c>
      <c r="O26" t="s">
        <v>77</v>
      </c>
    </row>
    <row r="27" spans="1:25" x14ac:dyDescent="0.45">
      <c r="A27">
        <v>769951</v>
      </c>
      <c r="B27">
        <v>15</v>
      </c>
      <c r="C27" t="s">
        <v>59</v>
      </c>
      <c r="D27">
        <v>36847</v>
      </c>
      <c r="E27" t="s">
        <v>13</v>
      </c>
      <c r="F27">
        <v>280330</v>
      </c>
      <c r="G27" t="s">
        <v>14</v>
      </c>
      <c r="J27">
        <v>223</v>
      </c>
      <c r="K27" t="s">
        <v>0</v>
      </c>
      <c r="L27" t="s">
        <v>120</v>
      </c>
      <c r="M27" t="s">
        <v>162</v>
      </c>
      <c r="N27">
        <v>195029</v>
      </c>
      <c r="O27" t="s">
        <v>26</v>
      </c>
      <c r="P27">
        <v>195002</v>
      </c>
      <c r="Q27" t="s">
        <v>30</v>
      </c>
      <c r="R27">
        <v>194941</v>
      </c>
      <c r="S27" t="s">
        <v>27</v>
      </c>
      <c r="T27">
        <v>202342</v>
      </c>
      <c r="U27" t="s">
        <v>86</v>
      </c>
      <c r="V27">
        <v>195003</v>
      </c>
      <c r="W27" t="s">
        <v>28</v>
      </c>
    </row>
    <row r="28" spans="1:25" x14ac:dyDescent="0.45">
      <c r="A28">
        <v>769952</v>
      </c>
      <c r="B28">
        <v>16</v>
      </c>
      <c r="C28" t="s">
        <v>60</v>
      </c>
      <c r="D28">
        <v>180813</v>
      </c>
      <c r="E28" t="s">
        <v>109</v>
      </c>
      <c r="F28">
        <v>328098</v>
      </c>
      <c r="G28" t="s">
        <v>105</v>
      </c>
      <c r="J28">
        <v>1330</v>
      </c>
      <c r="K28" t="s">
        <v>7</v>
      </c>
      <c r="L28" t="s">
        <v>122</v>
      </c>
      <c r="M28" t="s">
        <v>158</v>
      </c>
      <c r="N28">
        <v>203576</v>
      </c>
      <c r="O28" t="s">
        <v>88</v>
      </c>
      <c r="P28">
        <v>190728</v>
      </c>
      <c r="Q28" t="s">
        <v>89</v>
      </c>
      <c r="R28">
        <v>203579</v>
      </c>
      <c r="S28" t="s">
        <v>90</v>
      </c>
      <c r="T28">
        <v>206216</v>
      </c>
      <c r="U28" t="s">
        <v>91</v>
      </c>
      <c r="V28">
        <v>204013</v>
      </c>
      <c r="W28" t="s">
        <v>92</v>
      </c>
    </row>
    <row r="29" spans="1:25" x14ac:dyDescent="0.45">
      <c r="A29">
        <v>769951</v>
      </c>
      <c r="B29">
        <v>15</v>
      </c>
      <c r="C29" t="s">
        <v>59</v>
      </c>
      <c r="D29">
        <v>36847</v>
      </c>
      <c r="E29" t="s">
        <v>13</v>
      </c>
      <c r="F29">
        <v>280330</v>
      </c>
      <c r="G29" t="s">
        <v>14</v>
      </c>
      <c r="J29">
        <v>223</v>
      </c>
      <c r="K29" t="s">
        <v>0</v>
      </c>
      <c r="L29" t="s">
        <v>121</v>
      </c>
      <c r="M29" t="s">
        <v>141</v>
      </c>
      <c r="N29">
        <v>202327</v>
      </c>
      <c r="O29" t="s">
        <v>25</v>
      </c>
      <c r="P29">
        <v>202520</v>
      </c>
      <c r="Q29" t="s">
        <v>29</v>
      </c>
      <c r="R29">
        <v>205893</v>
      </c>
      <c r="S29" t="s">
        <v>87</v>
      </c>
      <c r="T29">
        <v>194944</v>
      </c>
      <c r="U29" t="s">
        <v>31</v>
      </c>
    </row>
    <row r="30" spans="1:25" ht="15.4" x14ac:dyDescent="0.45">
      <c r="A30">
        <v>769949</v>
      </c>
      <c r="B30">
        <v>13</v>
      </c>
      <c r="C30" t="s">
        <v>57</v>
      </c>
      <c r="D30">
        <v>49704</v>
      </c>
      <c r="E30" t="s">
        <v>108</v>
      </c>
      <c r="F30">
        <v>124</v>
      </c>
      <c r="G30" s="8" t="s">
        <v>167</v>
      </c>
      <c r="J30">
        <v>1330</v>
      </c>
      <c r="K30" t="s">
        <v>7</v>
      </c>
      <c r="L30" t="s">
        <v>119</v>
      </c>
      <c r="M30" t="s">
        <v>159</v>
      </c>
      <c r="N30">
        <v>206123</v>
      </c>
      <c r="O30" t="s">
        <v>80</v>
      </c>
      <c r="P30">
        <v>171512</v>
      </c>
      <c r="Q30" t="s">
        <v>81</v>
      </c>
      <c r="R30">
        <v>181877</v>
      </c>
      <c r="S30" t="s">
        <v>82</v>
      </c>
      <c r="T30" s="1">
        <v>201304</v>
      </c>
      <c r="U30" t="s">
        <v>83</v>
      </c>
      <c r="V30">
        <v>186888</v>
      </c>
      <c r="W30" t="s">
        <v>84</v>
      </c>
      <c r="X30">
        <v>200754</v>
      </c>
      <c r="Y30" t="s">
        <v>85</v>
      </c>
    </row>
    <row r="31" spans="1:25" x14ac:dyDescent="0.45">
      <c r="A31">
        <v>769953</v>
      </c>
      <c r="B31">
        <v>17</v>
      </c>
      <c r="C31" t="s">
        <v>61</v>
      </c>
      <c r="D31">
        <v>65539</v>
      </c>
      <c r="E31" t="s">
        <v>110</v>
      </c>
      <c r="F31">
        <v>262992</v>
      </c>
      <c r="G31" t="s">
        <v>99</v>
      </c>
      <c r="J31">
        <v>869</v>
      </c>
      <c r="K31" t="s">
        <v>2</v>
      </c>
      <c r="L31" t="s">
        <v>123</v>
      </c>
      <c r="N31">
        <v>195035</v>
      </c>
      <c r="O31" t="s">
        <v>93</v>
      </c>
    </row>
    <row r="32" spans="1:25" x14ac:dyDescent="0.45">
      <c r="A32">
        <v>769953</v>
      </c>
      <c r="B32">
        <v>17</v>
      </c>
      <c r="C32" t="s">
        <v>61</v>
      </c>
      <c r="D32">
        <v>34557</v>
      </c>
      <c r="E32" t="s">
        <v>111</v>
      </c>
      <c r="F32">
        <v>262992</v>
      </c>
      <c r="G32" t="s">
        <v>99</v>
      </c>
      <c r="J32">
        <v>869</v>
      </c>
      <c r="K32" t="s">
        <v>2</v>
      </c>
      <c r="N32">
        <v>195019</v>
      </c>
      <c r="O32" t="s">
        <v>94</v>
      </c>
    </row>
    <row r="33" spans="1:15" x14ac:dyDescent="0.45">
      <c r="A33">
        <v>769953</v>
      </c>
      <c r="B33">
        <v>17</v>
      </c>
      <c r="C33" t="s">
        <v>61</v>
      </c>
      <c r="D33">
        <v>96828</v>
      </c>
      <c r="E33" t="s">
        <v>22</v>
      </c>
      <c r="F33">
        <v>334748</v>
      </c>
      <c r="G33" t="s">
        <v>18</v>
      </c>
      <c r="J33">
        <v>1330</v>
      </c>
      <c r="K33" t="s">
        <v>7</v>
      </c>
      <c r="N33">
        <v>206243</v>
      </c>
      <c r="O33" t="s">
        <v>96</v>
      </c>
    </row>
    <row r="34" spans="1:15" x14ac:dyDescent="0.45">
      <c r="A34">
        <v>769953</v>
      </c>
      <c r="B34">
        <v>17</v>
      </c>
      <c r="C34" t="s">
        <v>61</v>
      </c>
      <c r="D34">
        <v>180813</v>
      </c>
      <c r="E34" t="s">
        <v>109</v>
      </c>
      <c r="F34">
        <v>328098</v>
      </c>
      <c r="G34" t="s">
        <v>105</v>
      </c>
      <c r="J34">
        <v>1330</v>
      </c>
      <c r="K34" t="s">
        <v>7</v>
      </c>
      <c r="N34">
        <v>29744</v>
      </c>
      <c r="O34" t="s">
        <v>95</v>
      </c>
    </row>
    <row r="35" spans="1:15" x14ac:dyDescent="0.45">
      <c r="A35">
        <v>769953</v>
      </c>
      <c r="B35">
        <v>17</v>
      </c>
      <c r="C35" t="s">
        <v>61</v>
      </c>
      <c r="D35">
        <v>180813</v>
      </c>
      <c r="E35" t="s">
        <v>109</v>
      </c>
      <c r="F35">
        <v>328098</v>
      </c>
      <c r="G35" t="s">
        <v>105</v>
      </c>
      <c r="J35">
        <v>986</v>
      </c>
      <c r="K35" t="s">
        <v>40</v>
      </c>
      <c r="L35" t="s">
        <v>124</v>
      </c>
      <c r="N35">
        <v>169428</v>
      </c>
      <c r="O35" t="s">
        <v>37</v>
      </c>
    </row>
    <row r="36" spans="1:15" x14ac:dyDescent="0.45">
      <c r="A36">
        <v>769953</v>
      </c>
      <c r="B36">
        <v>17</v>
      </c>
      <c r="C36" t="s">
        <v>61</v>
      </c>
      <c r="D36">
        <v>180813</v>
      </c>
      <c r="E36" t="s">
        <v>109</v>
      </c>
      <c r="F36">
        <v>328098</v>
      </c>
      <c r="G36" t="s">
        <v>105</v>
      </c>
      <c r="J36">
        <v>986</v>
      </c>
      <c r="K36" t="s">
        <v>40</v>
      </c>
      <c r="L36" t="s">
        <v>124</v>
      </c>
      <c r="N36">
        <v>186749</v>
      </c>
      <c r="O36" t="s">
        <v>38</v>
      </c>
    </row>
    <row r="37" spans="1:15" x14ac:dyDescent="0.45">
      <c r="A37">
        <v>769953</v>
      </c>
      <c r="B37">
        <v>17</v>
      </c>
      <c r="C37" t="s">
        <v>61</v>
      </c>
      <c r="D37">
        <v>24976</v>
      </c>
      <c r="E37" t="s">
        <v>43</v>
      </c>
      <c r="F37">
        <v>316201</v>
      </c>
      <c r="G37" t="s">
        <v>41</v>
      </c>
      <c r="J37">
        <v>1330</v>
      </c>
      <c r="K37" t="s">
        <v>7</v>
      </c>
      <c r="N37">
        <v>163633</v>
      </c>
      <c r="O37" t="s">
        <v>35</v>
      </c>
    </row>
    <row r="38" spans="1:15" s="7" customFormat="1" ht="15.4" x14ac:dyDescent="0.45">
      <c r="A38" s="7">
        <v>769953</v>
      </c>
      <c r="B38" s="7">
        <v>17</v>
      </c>
      <c r="C38" s="7" t="s">
        <v>61</v>
      </c>
      <c r="D38" s="7">
        <v>49704</v>
      </c>
      <c r="E38" s="7" t="s">
        <v>108</v>
      </c>
      <c r="F38">
        <v>124</v>
      </c>
      <c r="G38" s="8" t="s">
        <v>167</v>
      </c>
      <c r="J38" s="7">
        <v>1330</v>
      </c>
      <c r="K38" s="7" t="s">
        <v>7</v>
      </c>
      <c r="N38" s="7">
        <v>181877</v>
      </c>
      <c r="O38" s="7" t="s">
        <v>82</v>
      </c>
    </row>
    <row r="39" spans="1:15" x14ac:dyDescent="0.45">
      <c r="A39">
        <v>769954</v>
      </c>
      <c r="B39">
        <v>18</v>
      </c>
      <c r="C39" t="s">
        <v>62</v>
      </c>
      <c r="D39">
        <v>68838</v>
      </c>
      <c r="E39" t="s">
        <v>20</v>
      </c>
      <c r="F39">
        <v>308300</v>
      </c>
      <c r="G39" t="s">
        <v>19</v>
      </c>
      <c r="J39">
        <v>223</v>
      </c>
      <c r="K39" t="s">
        <v>0</v>
      </c>
      <c r="L39" t="s">
        <v>125</v>
      </c>
      <c r="N39">
        <v>202327</v>
      </c>
      <c r="O39" t="s">
        <v>25</v>
      </c>
    </row>
    <row r="40" spans="1:15" s="7" customFormat="1" x14ac:dyDescent="0.45">
      <c r="A40" s="7">
        <v>769954</v>
      </c>
      <c r="B40" s="7">
        <v>18</v>
      </c>
      <c r="C40" s="7" t="s">
        <v>62</v>
      </c>
      <c r="D40" s="7">
        <v>34557</v>
      </c>
      <c r="E40" s="7" t="s">
        <v>111</v>
      </c>
      <c r="F40" s="7">
        <v>349212</v>
      </c>
      <c r="G40" s="7" t="s">
        <v>106</v>
      </c>
      <c r="H40" s="7">
        <v>262992</v>
      </c>
      <c r="I40" s="7" t="s">
        <v>99</v>
      </c>
      <c r="J40" s="7">
        <v>869</v>
      </c>
      <c r="K40" s="7" t="s">
        <v>2</v>
      </c>
      <c r="N40" s="7">
        <v>172842</v>
      </c>
      <c r="O40" s="7" t="s">
        <v>97</v>
      </c>
    </row>
    <row r="41" spans="1:15" x14ac:dyDescent="0.45">
      <c r="A41">
        <v>769954</v>
      </c>
      <c r="B41">
        <v>18</v>
      </c>
      <c r="C41" t="s">
        <v>62</v>
      </c>
      <c r="D41">
        <v>57688</v>
      </c>
      <c r="E41" t="s">
        <v>112</v>
      </c>
      <c r="F41">
        <v>339009</v>
      </c>
      <c r="G41" t="s">
        <v>107</v>
      </c>
      <c r="J41">
        <v>223</v>
      </c>
      <c r="K41" t="s">
        <v>0</v>
      </c>
      <c r="L41" t="s">
        <v>125</v>
      </c>
      <c r="N41">
        <v>194944</v>
      </c>
      <c r="O41" t="s">
        <v>31</v>
      </c>
    </row>
    <row r="42" spans="1:15" s="7" customFormat="1" x14ac:dyDescent="0.45">
      <c r="A42" s="7">
        <v>769954</v>
      </c>
      <c r="B42" s="7">
        <v>18</v>
      </c>
      <c r="C42" s="7" t="s">
        <v>62</v>
      </c>
      <c r="D42" s="7">
        <v>39162</v>
      </c>
      <c r="E42" s="7" t="s">
        <v>9</v>
      </c>
      <c r="F42" s="7">
        <v>342703</v>
      </c>
      <c r="G42" s="7" t="s">
        <v>8</v>
      </c>
      <c r="J42" s="7">
        <v>223</v>
      </c>
      <c r="K42" s="7" t="s">
        <v>0</v>
      </c>
      <c r="L42" s="7" t="s">
        <v>125</v>
      </c>
      <c r="N42" s="7">
        <v>202520</v>
      </c>
      <c r="O42" s="7" t="s">
        <v>29</v>
      </c>
    </row>
    <row r="43" spans="1:15" x14ac:dyDescent="0.45">
      <c r="A43">
        <v>769954</v>
      </c>
      <c r="B43">
        <v>18</v>
      </c>
      <c r="C43" t="s">
        <v>62</v>
      </c>
      <c r="D43">
        <v>180813</v>
      </c>
      <c r="E43" t="s">
        <v>109</v>
      </c>
      <c r="F43">
        <v>328098</v>
      </c>
      <c r="G43" t="s">
        <v>105</v>
      </c>
      <c r="J43">
        <v>986</v>
      </c>
      <c r="K43" t="s">
        <v>40</v>
      </c>
      <c r="N43">
        <v>186751</v>
      </c>
      <c r="O43" t="s">
        <v>5</v>
      </c>
    </row>
    <row r="44" spans="1:15" s="6" customFormat="1" x14ac:dyDescent="0.45">
      <c r="A44" s="6">
        <v>769954</v>
      </c>
      <c r="B44" s="6">
        <v>18</v>
      </c>
      <c r="C44" s="6" t="s">
        <v>62</v>
      </c>
      <c r="D44" s="6">
        <v>39162</v>
      </c>
      <c r="E44" s="6" t="s">
        <v>9</v>
      </c>
      <c r="F44" s="6">
        <v>342703</v>
      </c>
      <c r="G44" s="6" t="s">
        <v>8</v>
      </c>
      <c r="J44" s="6">
        <v>223</v>
      </c>
      <c r="K44" s="6" t="s">
        <v>0</v>
      </c>
      <c r="L44" s="6" t="s">
        <v>125</v>
      </c>
      <c r="N44" s="6">
        <v>195002</v>
      </c>
      <c r="O44" s="6" t="s">
        <v>30</v>
      </c>
    </row>
    <row r="45" spans="1:15" x14ac:dyDescent="0.45">
      <c r="A45">
        <v>769954</v>
      </c>
      <c r="B45">
        <v>18</v>
      </c>
      <c r="C45" t="s">
        <v>62</v>
      </c>
      <c r="D45">
        <v>57688</v>
      </c>
      <c r="E45" t="s">
        <v>112</v>
      </c>
      <c r="F45">
        <v>339009</v>
      </c>
      <c r="G45" t="s">
        <v>107</v>
      </c>
      <c r="J45">
        <v>223</v>
      </c>
      <c r="K45" t="s">
        <v>0</v>
      </c>
      <c r="L45" t="s">
        <v>125</v>
      </c>
      <c r="N45">
        <v>202342</v>
      </c>
      <c r="O45" t="s">
        <v>86</v>
      </c>
    </row>
    <row r="46" spans="1:15" x14ac:dyDescent="0.45">
      <c r="A46">
        <v>769954</v>
      </c>
      <c r="B46">
        <v>18</v>
      </c>
      <c r="C46" t="s">
        <v>62</v>
      </c>
      <c r="D46">
        <v>57688</v>
      </c>
      <c r="E46" t="s">
        <v>112</v>
      </c>
      <c r="F46">
        <v>339009</v>
      </c>
      <c r="G46" t="s">
        <v>107</v>
      </c>
      <c r="J46">
        <v>223</v>
      </c>
      <c r="K46" t="s">
        <v>0</v>
      </c>
      <c r="L46" t="s">
        <v>125</v>
      </c>
      <c r="N46">
        <v>195003</v>
      </c>
      <c r="O46" t="s">
        <v>28</v>
      </c>
    </row>
    <row r="47" spans="1:15" x14ac:dyDescent="0.45">
      <c r="A47">
        <v>769954</v>
      </c>
      <c r="B47">
        <v>18</v>
      </c>
      <c r="C47" t="s">
        <v>62</v>
      </c>
      <c r="D47">
        <v>68838</v>
      </c>
      <c r="E47" t="s">
        <v>20</v>
      </c>
      <c r="F47">
        <v>308300</v>
      </c>
      <c r="G47" t="s">
        <v>19</v>
      </c>
      <c r="J47">
        <v>223</v>
      </c>
      <c r="K47" t="s">
        <v>0</v>
      </c>
      <c r="L47" t="s">
        <v>125</v>
      </c>
      <c r="N47">
        <v>195029</v>
      </c>
      <c r="O47" t="s">
        <v>26</v>
      </c>
    </row>
    <row r="48" spans="1:15" x14ac:dyDescent="0.45">
      <c r="A48">
        <v>769954</v>
      </c>
      <c r="B48">
        <v>18</v>
      </c>
      <c r="C48" t="s">
        <v>62</v>
      </c>
      <c r="D48">
        <v>68838</v>
      </c>
      <c r="E48" t="s">
        <v>20</v>
      </c>
      <c r="F48">
        <v>308300</v>
      </c>
      <c r="G48" t="s">
        <v>19</v>
      </c>
      <c r="J48">
        <v>223</v>
      </c>
      <c r="K48" t="s">
        <v>0</v>
      </c>
      <c r="L48" t="s">
        <v>125</v>
      </c>
      <c r="N48">
        <v>205893</v>
      </c>
      <c r="O48" t="s">
        <v>87</v>
      </c>
    </row>
    <row r="49" spans="1:15" x14ac:dyDescent="0.45">
      <c r="A49">
        <v>769954</v>
      </c>
      <c r="B49">
        <v>18</v>
      </c>
      <c r="C49" t="s">
        <v>62</v>
      </c>
      <c r="D49">
        <v>68838</v>
      </c>
      <c r="E49" t="s">
        <v>20</v>
      </c>
      <c r="F49">
        <v>308300</v>
      </c>
      <c r="G49" t="s">
        <v>19</v>
      </c>
      <c r="J49">
        <v>223</v>
      </c>
      <c r="K49" t="s">
        <v>0</v>
      </c>
      <c r="L49" t="s">
        <v>125</v>
      </c>
      <c r="N49">
        <v>194941</v>
      </c>
      <c r="O49" t="s">
        <v>27</v>
      </c>
    </row>
    <row r="50" spans="1:15" x14ac:dyDescent="0.45">
      <c r="A50">
        <v>769954</v>
      </c>
      <c r="B50">
        <v>18</v>
      </c>
      <c r="C50" t="s">
        <v>62</v>
      </c>
      <c r="D50">
        <v>180813</v>
      </c>
      <c r="E50" t="s">
        <v>109</v>
      </c>
      <c r="F50">
        <v>328098</v>
      </c>
      <c r="G50" t="s">
        <v>105</v>
      </c>
      <c r="J50">
        <v>986</v>
      </c>
      <c r="K50" t="s">
        <v>40</v>
      </c>
      <c r="N50">
        <v>186781</v>
      </c>
      <c r="O50" t="s">
        <v>34</v>
      </c>
    </row>
    <row r="51" spans="1:15" x14ac:dyDescent="0.45">
      <c r="A51">
        <v>769954</v>
      </c>
      <c r="B51">
        <v>18</v>
      </c>
      <c r="C51" t="s">
        <v>62</v>
      </c>
      <c r="D51">
        <v>180813</v>
      </c>
      <c r="E51" t="s">
        <v>109</v>
      </c>
      <c r="F51">
        <v>328098</v>
      </c>
      <c r="G51" t="s">
        <v>105</v>
      </c>
      <c r="J51">
        <v>986</v>
      </c>
      <c r="K51" t="s">
        <v>40</v>
      </c>
      <c r="N51">
        <v>195012</v>
      </c>
      <c r="O51" t="s">
        <v>32</v>
      </c>
    </row>
    <row r="52" spans="1:15" x14ac:dyDescent="0.45">
      <c r="A52">
        <v>769954</v>
      </c>
      <c r="B52">
        <v>18</v>
      </c>
      <c r="C52" t="s">
        <v>62</v>
      </c>
      <c r="D52">
        <v>180813</v>
      </c>
      <c r="E52" t="s">
        <v>109</v>
      </c>
      <c r="F52">
        <v>328098</v>
      </c>
      <c r="G52" t="s">
        <v>105</v>
      </c>
      <c r="J52">
        <v>986</v>
      </c>
      <c r="K52" t="s">
        <v>40</v>
      </c>
      <c r="N52">
        <v>186646</v>
      </c>
      <c r="O5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28CB-C6E2-4B8D-9091-1FD20615DBE1}">
  <dimension ref="A1:F20"/>
  <sheetViews>
    <sheetView workbookViewId="0">
      <selection activeCell="L29" sqref="L29"/>
    </sheetView>
  </sheetViews>
  <sheetFormatPr defaultRowHeight="14.25" x14ac:dyDescent="0.45"/>
  <cols>
    <col min="1" max="1" width="15" customWidth="1"/>
    <col min="3" max="3" width="45" customWidth="1"/>
  </cols>
  <sheetData>
    <row r="1" spans="1:6" x14ac:dyDescent="0.45">
      <c r="A1">
        <v>769936</v>
      </c>
      <c r="B1">
        <v>1</v>
      </c>
      <c r="C1" t="s">
        <v>45</v>
      </c>
      <c r="D1">
        <v>1</v>
      </c>
    </row>
    <row r="2" spans="1:6" x14ac:dyDescent="0.45">
      <c r="A2">
        <v>769937</v>
      </c>
      <c r="B2">
        <v>2</v>
      </c>
      <c r="C2" t="s">
        <v>46</v>
      </c>
      <c r="D2">
        <v>13</v>
      </c>
    </row>
    <row r="3" spans="1:6" x14ac:dyDescent="0.45">
      <c r="A3">
        <v>769939</v>
      </c>
      <c r="B3">
        <v>3</v>
      </c>
      <c r="C3" t="s">
        <v>47</v>
      </c>
      <c r="D3">
        <v>25</v>
      </c>
    </row>
    <row r="4" spans="1:6" x14ac:dyDescent="0.45">
      <c r="A4">
        <v>769940</v>
      </c>
      <c r="B4">
        <v>4</v>
      </c>
      <c r="C4" t="s">
        <v>48</v>
      </c>
      <c r="D4">
        <v>1076</v>
      </c>
    </row>
    <row r="5" spans="1:6" x14ac:dyDescent="0.45">
      <c r="A5">
        <v>769941</v>
      </c>
      <c r="B5">
        <v>5</v>
      </c>
      <c r="C5" t="s">
        <v>49</v>
      </c>
      <c r="D5">
        <v>1077</v>
      </c>
    </row>
    <row r="6" spans="1:6" x14ac:dyDescent="0.45">
      <c r="A6">
        <v>769942</v>
      </c>
      <c r="B6">
        <v>6</v>
      </c>
      <c r="C6" t="s">
        <v>50</v>
      </c>
      <c r="D6">
        <v>1060</v>
      </c>
    </row>
    <row r="7" spans="1:6" x14ac:dyDescent="0.45">
      <c r="A7">
        <v>769943</v>
      </c>
      <c r="B7">
        <v>7</v>
      </c>
      <c r="C7" t="s">
        <v>51</v>
      </c>
      <c r="D7">
        <v>33</v>
      </c>
      <c r="E7" t="s">
        <v>135</v>
      </c>
    </row>
    <row r="8" spans="1:6" x14ac:dyDescent="0.45">
      <c r="A8">
        <v>769944</v>
      </c>
      <c r="B8">
        <v>8</v>
      </c>
      <c r="C8" t="s">
        <v>52</v>
      </c>
      <c r="D8">
        <v>1078</v>
      </c>
    </row>
    <row r="9" spans="1:6" x14ac:dyDescent="0.45">
      <c r="A9">
        <v>769945</v>
      </c>
      <c r="B9">
        <v>9</v>
      </c>
      <c r="C9" t="s">
        <v>53</v>
      </c>
      <c r="D9">
        <v>37</v>
      </c>
    </row>
    <row r="10" spans="1:6" x14ac:dyDescent="0.45">
      <c r="A10">
        <v>769946</v>
      </c>
      <c r="B10">
        <v>10</v>
      </c>
      <c r="C10" t="s">
        <v>54</v>
      </c>
    </row>
    <row r="11" spans="1:6" x14ac:dyDescent="0.45">
      <c r="A11">
        <v>769947</v>
      </c>
      <c r="B11">
        <v>11</v>
      </c>
      <c r="C11" t="s">
        <v>55</v>
      </c>
    </row>
    <row r="12" spans="1:6" x14ac:dyDescent="0.45">
      <c r="A12">
        <v>769948</v>
      </c>
      <c r="B12">
        <v>12</v>
      </c>
      <c r="C12" t="s">
        <v>56</v>
      </c>
      <c r="D12">
        <v>1054</v>
      </c>
    </row>
    <row r="13" spans="1:6" x14ac:dyDescent="0.45">
      <c r="A13">
        <v>769949</v>
      </c>
      <c r="B13">
        <v>13</v>
      </c>
      <c r="C13" t="s">
        <v>57</v>
      </c>
      <c r="D13">
        <v>50</v>
      </c>
    </row>
    <row r="14" spans="1:6" x14ac:dyDescent="0.45">
      <c r="A14">
        <v>769950</v>
      </c>
      <c r="B14">
        <v>14</v>
      </c>
      <c r="C14" t="s">
        <v>58</v>
      </c>
      <c r="D14">
        <v>1095</v>
      </c>
    </row>
    <row r="15" spans="1:6" x14ac:dyDescent="0.45">
      <c r="A15">
        <v>769951</v>
      </c>
      <c r="B15">
        <v>15</v>
      </c>
      <c r="C15" t="s">
        <v>59</v>
      </c>
      <c r="D15">
        <v>44</v>
      </c>
      <c r="E15" t="s">
        <v>136</v>
      </c>
      <c r="F15" t="s">
        <v>164</v>
      </c>
    </row>
    <row r="16" spans="1:6" x14ac:dyDescent="0.45">
      <c r="A16">
        <v>769952</v>
      </c>
      <c r="B16">
        <v>16</v>
      </c>
      <c r="C16" t="s">
        <v>60</v>
      </c>
      <c r="D16">
        <v>1058</v>
      </c>
      <c r="E16" t="s">
        <v>137</v>
      </c>
      <c r="F16" t="s">
        <v>165</v>
      </c>
    </row>
    <row r="17" spans="1:5" x14ac:dyDescent="0.45">
      <c r="A17">
        <v>769953</v>
      </c>
      <c r="B17">
        <v>17</v>
      </c>
      <c r="C17" t="s">
        <v>61</v>
      </c>
      <c r="D17">
        <v>48</v>
      </c>
      <c r="E17" t="s">
        <v>138</v>
      </c>
    </row>
    <row r="18" spans="1:5" x14ac:dyDescent="0.45">
      <c r="A18">
        <v>769954</v>
      </c>
      <c r="B18">
        <v>18</v>
      </c>
      <c r="C18" t="s">
        <v>62</v>
      </c>
      <c r="D18">
        <v>49</v>
      </c>
      <c r="E18" t="s">
        <v>139</v>
      </c>
    </row>
    <row r="19" spans="1:5" x14ac:dyDescent="0.45">
      <c r="A19">
        <v>769955</v>
      </c>
      <c r="B19">
        <v>19</v>
      </c>
      <c r="C19" t="s">
        <v>63</v>
      </c>
      <c r="D19">
        <v>1056</v>
      </c>
      <c r="E19" t="s">
        <v>140</v>
      </c>
    </row>
    <row r="20" spans="1:5" x14ac:dyDescent="0.45">
      <c r="A20">
        <v>700</v>
      </c>
      <c r="B20">
        <v>999</v>
      </c>
      <c r="C20" s="5" t="s">
        <v>161</v>
      </c>
      <c r="D20">
        <v>52</v>
      </c>
      <c r="E20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CEA1-1CE1-4743-9EBE-57C3851E7690}">
  <dimension ref="A1:B15"/>
  <sheetViews>
    <sheetView workbookViewId="0">
      <selection activeCell="A15" sqref="A15:B15"/>
    </sheetView>
  </sheetViews>
  <sheetFormatPr defaultRowHeight="14.25" x14ac:dyDescent="0.45"/>
  <cols>
    <col min="1" max="1" width="15.265625" customWidth="1"/>
    <col min="2" max="2" width="24.265625" customWidth="1"/>
  </cols>
  <sheetData>
    <row r="1" spans="1:2" x14ac:dyDescent="0.45">
      <c r="A1">
        <v>68838</v>
      </c>
      <c r="B1" t="s">
        <v>20</v>
      </c>
    </row>
    <row r="2" spans="1:2" x14ac:dyDescent="0.45">
      <c r="A2">
        <v>39162</v>
      </c>
      <c r="B2" t="s">
        <v>9</v>
      </c>
    </row>
    <row r="3" spans="1:2" x14ac:dyDescent="0.45">
      <c r="A3">
        <v>36847</v>
      </c>
      <c r="B3" t="s">
        <v>13</v>
      </c>
    </row>
    <row r="4" spans="1:2" x14ac:dyDescent="0.45">
      <c r="A4">
        <v>44766</v>
      </c>
      <c r="B4" t="s">
        <v>66</v>
      </c>
    </row>
    <row r="5" spans="1:2" x14ac:dyDescent="0.45">
      <c r="A5">
        <v>40552</v>
      </c>
      <c r="B5" t="s">
        <v>1</v>
      </c>
    </row>
    <row r="6" spans="1:2" x14ac:dyDescent="0.45">
      <c r="A6">
        <v>39667</v>
      </c>
      <c r="B6" t="s">
        <v>44</v>
      </c>
    </row>
    <row r="7" spans="1:2" x14ac:dyDescent="0.45">
      <c r="A7">
        <v>24976</v>
      </c>
      <c r="B7" t="s">
        <v>43</v>
      </c>
    </row>
    <row r="8" spans="1:2" x14ac:dyDescent="0.45">
      <c r="A8">
        <v>65038</v>
      </c>
      <c r="B8" t="s">
        <v>6</v>
      </c>
    </row>
    <row r="9" spans="1:2" x14ac:dyDescent="0.45">
      <c r="A9">
        <v>95073</v>
      </c>
      <c r="B9" t="s">
        <v>133</v>
      </c>
    </row>
    <row r="10" spans="1:2" x14ac:dyDescent="0.45">
      <c r="A10">
        <v>49704</v>
      </c>
      <c r="B10" t="s">
        <v>108</v>
      </c>
    </row>
    <row r="11" spans="1:2" x14ac:dyDescent="0.45">
      <c r="A11">
        <v>180813</v>
      </c>
      <c r="B11" t="s">
        <v>109</v>
      </c>
    </row>
    <row r="12" spans="1:2" x14ac:dyDescent="0.45">
      <c r="A12">
        <v>65539</v>
      </c>
      <c r="B12" t="s">
        <v>110</v>
      </c>
    </row>
    <row r="13" spans="1:2" x14ac:dyDescent="0.45">
      <c r="A13">
        <v>34557</v>
      </c>
      <c r="B13" t="s">
        <v>111</v>
      </c>
    </row>
    <row r="14" spans="1:2" x14ac:dyDescent="0.45">
      <c r="A14">
        <v>96828</v>
      </c>
      <c r="B14" t="s">
        <v>22</v>
      </c>
    </row>
    <row r="15" spans="1:2" x14ac:dyDescent="0.45">
      <c r="A15">
        <v>57688</v>
      </c>
      <c r="B15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6F6B-AC62-438F-ADA1-73868A8D26DB}">
  <dimension ref="A1:B2"/>
  <sheetViews>
    <sheetView workbookViewId="0">
      <selection activeCell="B10" sqref="B10"/>
    </sheetView>
  </sheetViews>
  <sheetFormatPr defaultRowHeight="14.25" x14ac:dyDescent="0.45"/>
  <cols>
    <col min="1" max="1" width="24.1328125" customWidth="1"/>
    <col min="2" max="2" width="23.1328125" customWidth="1"/>
  </cols>
  <sheetData>
    <row r="1" spans="1:2" x14ac:dyDescent="0.45">
      <c r="A1">
        <v>0</v>
      </c>
      <c r="B1" t="s">
        <v>10</v>
      </c>
    </row>
    <row r="2" spans="1:2" x14ac:dyDescent="0.45">
      <c r="A2">
        <v>262992</v>
      </c>
      <c r="B2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BA4F-C9F6-4C5B-8947-232726082284}">
  <dimension ref="A1:B20"/>
  <sheetViews>
    <sheetView workbookViewId="0">
      <selection activeCell="A20" sqref="A20:B20"/>
    </sheetView>
  </sheetViews>
  <sheetFormatPr defaultRowHeight="14.25" x14ac:dyDescent="0.45"/>
  <cols>
    <col min="1" max="1" width="16.86328125" customWidth="1"/>
    <col min="2" max="2" width="24.1328125" customWidth="1"/>
  </cols>
  <sheetData>
    <row r="1" spans="1:2" x14ac:dyDescent="0.45">
      <c r="A1">
        <v>308300</v>
      </c>
      <c r="B1" t="s">
        <v>19</v>
      </c>
    </row>
    <row r="2" spans="1:2" x14ac:dyDescent="0.45">
      <c r="A2">
        <v>342703</v>
      </c>
      <c r="B2" t="s">
        <v>8</v>
      </c>
    </row>
    <row r="3" spans="1:2" x14ac:dyDescent="0.45">
      <c r="A3">
        <v>280330</v>
      </c>
      <c r="B3" t="s">
        <v>14</v>
      </c>
    </row>
    <row r="4" spans="1:2" x14ac:dyDescent="0.45">
      <c r="A4">
        <v>293254</v>
      </c>
      <c r="B4" t="s">
        <v>65</v>
      </c>
    </row>
    <row r="5" spans="1:2" x14ac:dyDescent="0.45">
      <c r="A5">
        <v>354215</v>
      </c>
      <c r="B5" t="s">
        <v>131</v>
      </c>
    </row>
    <row r="6" spans="1:2" x14ac:dyDescent="0.45">
      <c r="A6">
        <v>342894</v>
      </c>
      <c r="B6" t="s">
        <v>42</v>
      </c>
    </row>
    <row r="7" spans="1:2" x14ac:dyDescent="0.45">
      <c r="A7">
        <v>316201</v>
      </c>
      <c r="B7" t="s">
        <v>41</v>
      </c>
    </row>
    <row r="8" spans="1:2" x14ac:dyDescent="0.45">
      <c r="A8">
        <v>312598</v>
      </c>
      <c r="B8" t="s">
        <v>100</v>
      </c>
    </row>
    <row r="9" spans="1:2" x14ac:dyDescent="0.45">
      <c r="A9">
        <v>321025</v>
      </c>
      <c r="B9" t="s">
        <v>101</v>
      </c>
    </row>
    <row r="10" spans="1:2" x14ac:dyDescent="0.45">
      <c r="A10">
        <v>328352</v>
      </c>
      <c r="B10" t="s">
        <v>102</v>
      </c>
    </row>
    <row r="11" spans="1:2" x14ac:dyDescent="0.45">
      <c r="A11">
        <v>279357</v>
      </c>
      <c r="B11" t="s">
        <v>132</v>
      </c>
    </row>
    <row r="12" spans="1:2" x14ac:dyDescent="0.45">
      <c r="A12">
        <v>330385</v>
      </c>
      <c r="B12" t="s">
        <v>103</v>
      </c>
    </row>
    <row r="13" spans="1:2" x14ac:dyDescent="0.45">
      <c r="A13">
        <v>304761</v>
      </c>
      <c r="B13" t="s">
        <v>104</v>
      </c>
    </row>
    <row r="14" spans="1:2" x14ac:dyDescent="0.45">
      <c r="A14">
        <v>328098</v>
      </c>
      <c r="B14" t="s">
        <v>105</v>
      </c>
    </row>
    <row r="15" spans="1:2" x14ac:dyDescent="0.45">
      <c r="A15">
        <v>262992</v>
      </c>
      <c r="B15" t="s">
        <v>99</v>
      </c>
    </row>
    <row r="16" spans="1:2" x14ac:dyDescent="0.45">
      <c r="A16">
        <v>334748</v>
      </c>
      <c r="B16" t="s">
        <v>18</v>
      </c>
    </row>
    <row r="17" spans="1:2" x14ac:dyDescent="0.45">
      <c r="A17">
        <v>349212</v>
      </c>
      <c r="B17" t="s">
        <v>106</v>
      </c>
    </row>
    <row r="18" spans="1:2" x14ac:dyDescent="0.45">
      <c r="A18">
        <v>339009</v>
      </c>
      <c r="B18" t="s">
        <v>107</v>
      </c>
    </row>
    <row r="19" spans="1:2" x14ac:dyDescent="0.45">
      <c r="A19">
        <v>123</v>
      </c>
      <c r="B19" t="s">
        <v>163</v>
      </c>
    </row>
    <row r="20" spans="1:2" ht="15.4" x14ac:dyDescent="0.45">
      <c r="A20">
        <v>124</v>
      </c>
      <c r="B20" s="8" t="s">
        <v>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7C6F2-EC51-4670-8080-B1754AF093BC}">
  <dimension ref="A1:C7"/>
  <sheetViews>
    <sheetView workbookViewId="0">
      <selection activeCell="B10" sqref="B10"/>
    </sheetView>
  </sheetViews>
  <sheetFormatPr defaultRowHeight="14.25" x14ac:dyDescent="0.45"/>
  <cols>
    <col min="1" max="1" width="17.73046875" customWidth="1"/>
    <col min="2" max="2" width="33" customWidth="1"/>
  </cols>
  <sheetData>
    <row r="1" spans="1:3" x14ac:dyDescent="0.45">
      <c r="A1">
        <v>1330</v>
      </c>
      <c r="B1" t="s">
        <v>7</v>
      </c>
      <c r="C1" t="s">
        <v>3</v>
      </c>
    </row>
    <row r="2" spans="1:3" x14ac:dyDescent="0.45">
      <c r="A2">
        <v>233</v>
      </c>
      <c r="B2" t="s">
        <v>15</v>
      </c>
      <c r="C2" t="s">
        <v>3</v>
      </c>
    </row>
    <row r="3" spans="1:3" x14ac:dyDescent="0.45">
      <c r="A3">
        <v>223</v>
      </c>
      <c r="B3" t="s">
        <v>0</v>
      </c>
      <c r="C3" t="s">
        <v>3</v>
      </c>
    </row>
    <row r="4" spans="1:3" x14ac:dyDescent="0.45">
      <c r="A4">
        <v>869</v>
      </c>
      <c r="B4" t="s">
        <v>2</v>
      </c>
      <c r="C4" t="s">
        <v>3</v>
      </c>
    </row>
    <row r="5" spans="1:3" x14ac:dyDescent="0.45">
      <c r="A5">
        <v>986</v>
      </c>
      <c r="B5" t="s">
        <v>40</v>
      </c>
      <c r="C5" t="s">
        <v>3</v>
      </c>
    </row>
    <row r="6" spans="1:3" x14ac:dyDescent="0.45">
      <c r="A6">
        <v>1198</v>
      </c>
      <c r="B6" t="s">
        <v>130</v>
      </c>
      <c r="C6" t="s">
        <v>3</v>
      </c>
    </row>
    <row r="7" spans="1:3" x14ac:dyDescent="0.45">
      <c r="A7">
        <v>867</v>
      </c>
      <c r="B7" t="s">
        <v>98</v>
      </c>
      <c r="C7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52B9-B788-4BDE-A1B2-C618945E4F4F}">
  <dimension ref="A2:K133"/>
  <sheetViews>
    <sheetView topLeftCell="A22" workbookViewId="0">
      <selection activeCell="A70" sqref="A70:B70"/>
    </sheetView>
  </sheetViews>
  <sheetFormatPr defaultRowHeight="14.25" x14ac:dyDescent="0.45"/>
  <cols>
    <col min="1" max="1" width="16" customWidth="1"/>
    <col min="2" max="2" width="24" customWidth="1"/>
    <col min="10" max="10" width="11.6640625" bestFit="1" customWidth="1"/>
  </cols>
  <sheetData>
    <row r="2" spans="1:11" x14ac:dyDescent="0.45">
      <c r="A2">
        <v>164696</v>
      </c>
      <c r="B2" t="s">
        <v>67</v>
      </c>
      <c r="I2" t="str" cm="1">
        <f t="array" ref="I2">IF(K2="Visa klasser",IFERROR(INDEX(ekipage!B:B,MATCH(1,(ekipage!O:O=A2)*(ISNUMBER(ekipage!Q:Q)=FALSE),0)),""),"")</f>
        <v/>
      </c>
      <c r="J2" t="str" cm="1">
        <f t="array" ref="J2">IF(K2="Visa klasser",IFERROR(INDEX(ekipage!C:C, MATCH(1, (ekipage!O:O = A2) * (ISNUMBER(ekipage!Q:Q) = FALSE), 0)), "Ej individuell"),"Visar ej klasser")</f>
        <v>Visar ej klasser</v>
      </c>
      <c r="K2" t="s">
        <v>134</v>
      </c>
    </row>
    <row r="3" spans="1:11" x14ac:dyDescent="0.45">
      <c r="A3">
        <v>195030</v>
      </c>
      <c r="B3" t="s">
        <v>39</v>
      </c>
      <c r="I3" t="str" cm="1">
        <f t="array" ref="I3">IF(K3="Visa klasser",IFERROR(INDEX(ekipage!B:B,MATCH(1,(ekipage!O:O=A3)*(ISNUMBER(ekipage!Q:Q)=FALSE),0)),""),"")</f>
        <v/>
      </c>
      <c r="J3" t="str" cm="1">
        <f t="array" ref="J3">IF(K3="Visa klasser",IFERROR(INDEX(ekipage!C:C, MATCH(1, (ekipage!O:O = A3) * (ISNUMBER(ekipage!Q:Q) = FALSE), 0)), "Ej individuell"),"Visar ej klasser")</f>
        <v>Visar ej klasser</v>
      </c>
      <c r="K3" t="s">
        <v>134</v>
      </c>
    </row>
    <row r="4" spans="1:11" x14ac:dyDescent="0.45">
      <c r="A4">
        <v>203320</v>
      </c>
      <c r="B4" t="s">
        <v>68</v>
      </c>
      <c r="I4" t="str" cm="1">
        <f t="array" ref="I4">IF(K4="Visa klasser",IFERROR(INDEX(ekipage!B:B,MATCH(1,(ekipage!O:O=A4)*(ISNUMBER(ekipage!Q:Q)=FALSE),0)),""),"")</f>
        <v/>
      </c>
      <c r="J4" t="str" cm="1">
        <f t="array" ref="J4">IF(K4="Visa klasser",IFERROR(INDEX(ekipage!C:C, MATCH(1, (ekipage!O:O = A4) * (ISNUMBER(ekipage!Q:Q) = FALSE), 0)), "Ej individuell"),"Visar ej klasser")</f>
        <v>Visar ej klasser</v>
      </c>
      <c r="K4" t="s">
        <v>134</v>
      </c>
    </row>
    <row r="5" spans="1:11" x14ac:dyDescent="0.45">
      <c r="A5">
        <v>155903</v>
      </c>
      <c r="B5" t="s">
        <v>69</v>
      </c>
      <c r="I5" t="str" cm="1">
        <f t="array" ref="I5">IF(K5="Visa klasser",IFERROR(INDEX(ekipage!B:B,MATCH(1,(ekipage!O:O=A5)*(ISNUMBER(ekipage!Q:Q)=FALSE),0)),""),"")</f>
        <v/>
      </c>
      <c r="J5" t="str" cm="1">
        <f t="array" ref="J5">IF(K5="Visa klasser",IFERROR(INDEX(ekipage!C:C, MATCH(1, (ekipage!O:O = A5) * (ISNUMBER(ekipage!Q:Q) = FALSE), 0)), "Ej individuell"),"Visar ej klasser")</f>
        <v>Visar ej klasser</v>
      </c>
      <c r="K5" t="s">
        <v>134</v>
      </c>
    </row>
    <row r="6" spans="1:11" x14ac:dyDescent="0.45">
      <c r="A6">
        <v>164698</v>
      </c>
      <c r="B6" t="s">
        <v>21</v>
      </c>
      <c r="I6" t="str" cm="1">
        <f t="array" ref="I6">IF(K6="Visa klasser",IFERROR(INDEX(ekipage!B:B,MATCH(1,(ekipage!O:O=A6)*(ISNUMBER(ekipage!Q:Q)=FALSE),0)),""),"")</f>
        <v/>
      </c>
      <c r="J6" t="str" cm="1">
        <f t="array" ref="J6">IF(K6="Visa klasser",IFERROR(INDEX(ekipage!C:C, MATCH(1, (ekipage!O:O = A6) * (ISNUMBER(ekipage!Q:Q) = FALSE), 0)), "Ej individuell"),"Visar ej klasser")</f>
        <v>Visar ej klasser</v>
      </c>
      <c r="K6" t="s">
        <v>134</v>
      </c>
    </row>
    <row r="7" spans="1:11" x14ac:dyDescent="0.45">
      <c r="A7">
        <v>140351</v>
      </c>
      <c r="B7" t="s">
        <v>17</v>
      </c>
      <c r="I7" t="str" cm="1">
        <f t="array" ref="I7">IF(K7="Visa klasser",IFERROR(INDEX(ekipage!B:B,MATCH(1,(ekipage!O:O=A7)*(ISNUMBER(ekipage!Q:Q)=FALSE),0)),""),"")</f>
        <v/>
      </c>
      <c r="J7" t="str" cm="1">
        <f t="array" ref="J7">IF(K7="Visa klasser",IFERROR(INDEX(ekipage!C:C, MATCH(1, (ekipage!O:O = A7) * (ISNUMBER(ekipage!Q:Q) = FALSE), 0)), "Ej individuell"),"Visar ej klasser")</f>
        <v>Visar ej klasser</v>
      </c>
      <c r="K7" t="s">
        <v>134</v>
      </c>
    </row>
    <row r="8" spans="1:11" x14ac:dyDescent="0.45">
      <c r="A8">
        <v>99453</v>
      </c>
      <c r="B8" t="s">
        <v>12</v>
      </c>
      <c r="I8" t="str" cm="1">
        <f t="array" ref="I8">IF(K8="Visa klasser",IFERROR(INDEX(ekipage!B:B,MATCH(1,(ekipage!O:O=A8)*(ISNUMBER(ekipage!Q:Q)=FALSE),0)),""),"")</f>
        <v/>
      </c>
      <c r="J8" t="str" cm="1">
        <f t="array" ref="J8">IF(K8="Visa klasser",IFERROR(INDEX(ekipage!C:C, MATCH(1, (ekipage!O:O = A8) * (ISNUMBER(ekipage!Q:Q) = FALSE), 0)), "Ej individuell"),"Visar ej klasser")</f>
        <v>Visar ej klasser</v>
      </c>
      <c r="K8" t="s">
        <v>134</v>
      </c>
    </row>
    <row r="9" spans="1:11" x14ac:dyDescent="0.45">
      <c r="A9">
        <v>51513</v>
      </c>
      <c r="B9" t="s">
        <v>4</v>
      </c>
      <c r="I9" t="str" cm="1">
        <f t="array" ref="I9">IF(K9="Visa klasser",IFERROR(INDEX(ekipage!B:B,MATCH(1,(ekipage!O:O=A9)*(ISNUMBER(ekipage!Q:Q)=FALSE),0)),""),"")</f>
        <v/>
      </c>
      <c r="J9" t="str" cm="1">
        <f t="array" ref="J9">IF(K9="Visa klasser",IFERROR(INDEX(ekipage!C:C, MATCH(1, (ekipage!O:O = A9) * (ISNUMBER(ekipage!Q:Q) = FALSE), 0)), "Ej individuell"),"Visar ej klasser")</f>
        <v>Visar ej klasser</v>
      </c>
      <c r="K9" t="s">
        <v>134</v>
      </c>
    </row>
    <row r="10" spans="1:11" x14ac:dyDescent="0.45">
      <c r="A10">
        <v>101407</v>
      </c>
      <c r="B10" t="s">
        <v>70</v>
      </c>
      <c r="I10" t="str" cm="1">
        <f t="array" ref="I10">IF(K10="Visa klasser",IFERROR(INDEX(ekipage!B:B,MATCH(1,(ekipage!O:O=A10)*(ISNUMBER(ekipage!Q:Q)=FALSE),0)),""),"")</f>
        <v/>
      </c>
      <c r="J10" t="str" cm="1">
        <f t="array" ref="J10">IF(K10="Visa klasser",IFERROR(INDEX(ekipage!C:C, MATCH(1, (ekipage!O:O = A10) * (ISNUMBER(ekipage!Q:Q) = FALSE), 0)), "Ej individuell"),"Visar ej klasser")</f>
        <v>Visar ej klasser</v>
      </c>
      <c r="K10" t="s">
        <v>134</v>
      </c>
    </row>
    <row r="11" spans="1:11" x14ac:dyDescent="0.45">
      <c r="A11">
        <v>119893</v>
      </c>
      <c r="B11" t="s">
        <v>71</v>
      </c>
      <c r="I11" t="str" cm="1">
        <f t="array" ref="I11">IF(K11="Visa klasser",IFERROR(INDEX(ekipage!B:B,MATCH(1,(ekipage!O:O=A11)*(ISNUMBER(ekipage!Q:Q)=FALSE),0)),""),"")</f>
        <v/>
      </c>
      <c r="J11" t="str" cm="1">
        <f t="array" ref="J11">IF(K11="Visa klasser",IFERROR(INDEX(ekipage!C:C, MATCH(1, (ekipage!O:O = A11) * (ISNUMBER(ekipage!Q:Q) = FALSE), 0)), "Ej individuell"),"Visar ej klasser")</f>
        <v>Visar ej klasser</v>
      </c>
      <c r="K11" t="s">
        <v>134</v>
      </c>
    </row>
    <row r="12" spans="1:11" x14ac:dyDescent="0.45">
      <c r="A12">
        <v>124472</v>
      </c>
      <c r="B12" t="s">
        <v>72</v>
      </c>
      <c r="I12" t="str" cm="1">
        <f t="array" ref="I12">IF(K12="Visa klasser",IFERROR(INDEX(ekipage!B:B,MATCH(1,(ekipage!O:O=A12)*(ISNUMBER(ekipage!Q:Q)=FALSE),0)),""),"")</f>
        <v/>
      </c>
      <c r="J12" t="str" cm="1">
        <f t="array" ref="J12">IF(K12="Visa klasser",IFERROR(INDEX(ekipage!C:C, MATCH(1, (ekipage!O:O = A12) * (ISNUMBER(ekipage!Q:Q) = FALSE), 0)), "Ej individuell"),"Visar ej klasser")</f>
        <v>Visar ej klasser</v>
      </c>
      <c r="K12" t="s">
        <v>134</v>
      </c>
    </row>
    <row r="13" spans="1:11" x14ac:dyDescent="0.45">
      <c r="A13">
        <v>160950</v>
      </c>
      <c r="B13" t="s">
        <v>73</v>
      </c>
      <c r="I13" t="str" cm="1">
        <f t="array" ref="I13">IF(K13="Visa klasser",IFERROR(INDEX(ekipage!B:B,MATCH(1,(ekipage!O:O=A13)*(ISNUMBER(ekipage!Q:Q)=FALSE),0)),""),"")</f>
        <v/>
      </c>
      <c r="J13" t="str" cm="1">
        <f t="array" ref="J13">IF(K13="Visa klasser",IFERROR(INDEX(ekipage!C:C, MATCH(1, (ekipage!O:O = A13) * (ISNUMBER(ekipage!Q:Q) = FALSE), 0)), "Ej individuell"),"Visar ej klasser")</f>
        <v>Visar ej klasser</v>
      </c>
      <c r="K13" t="s">
        <v>134</v>
      </c>
    </row>
    <row r="14" spans="1:11" x14ac:dyDescent="0.45">
      <c r="A14">
        <v>106236</v>
      </c>
      <c r="B14" t="s">
        <v>126</v>
      </c>
      <c r="I14" t="str" cm="1">
        <f t="array" ref="I14">IF(K14="Visa klasser",IFERROR(INDEX(ekipage!B:B,MATCH(1,(ekipage!O:O=A14)*(ISNUMBER(ekipage!Q:Q)=FALSE),0)),""),"")</f>
        <v/>
      </c>
      <c r="J14" t="str" cm="1">
        <f t="array" ref="J14">IF(K14="Visa klasser",IFERROR(INDEX(ekipage!C:C, MATCH(1, (ekipage!O:O = A14) * (ISNUMBER(ekipage!Q:Q) = FALSE), 0)), "Ej individuell"),"Visar ej klasser")</f>
        <v>Visar ej klasser</v>
      </c>
      <c r="K14" t="s">
        <v>134</v>
      </c>
    </row>
    <row r="15" spans="1:11" x14ac:dyDescent="0.45">
      <c r="A15">
        <v>134303</v>
      </c>
      <c r="B15" t="s">
        <v>24</v>
      </c>
      <c r="I15" t="str" cm="1">
        <f t="array" ref="I15">IF(K15="Visa klasser",IFERROR(INDEX(ekipage!B:B,MATCH(1,(ekipage!O:O=A15)*(ISNUMBER(ekipage!Q:Q)=FALSE),0)),""),"")</f>
        <v/>
      </c>
      <c r="J15" t="str" cm="1">
        <f t="array" ref="J15">IF(K15="Visa klasser",IFERROR(INDEX(ekipage!C:C, MATCH(1, (ekipage!O:O = A15) * (ISNUMBER(ekipage!Q:Q) = FALSE), 0)), "Ej individuell"),"Visar ej klasser")</f>
        <v>Visar ej klasser</v>
      </c>
      <c r="K15" t="s">
        <v>134</v>
      </c>
    </row>
    <row r="16" spans="1:11" x14ac:dyDescent="0.45">
      <c r="A16">
        <v>155892</v>
      </c>
      <c r="B16" t="s">
        <v>74</v>
      </c>
      <c r="I16" t="str" cm="1">
        <f t="array" ref="I16">IF(K16="Visa klasser",IFERROR(INDEX(ekipage!B:B,MATCH(1,(ekipage!O:O=A16)*(ISNUMBER(ekipage!Q:Q)=FALSE),0)),""),"")</f>
        <v/>
      </c>
      <c r="J16" t="str" cm="1">
        <f t="array" ref="J16">IF(K16="Visa klasser",IFERROR(INDEX(ekipage!C:C, MATCH(1, (ekipage!O:O = A16) * (ISNUMBER(ekipage!Q:Q) = FALSE), 0)), "Ej individuell"),"Visar ej klasser")</f>
        <v>Visar ej klasser</v>
      </c>
      <c r="K16" t="s">
        <v>134</v>
      </c>
    </row>
    <row r="17" spans="1:11" x14ac:dyDescent="0.45">
      <c r="A17">
        <v>155915</v>
      </c>
      <c r="B17" t="s">
        <v>11</v>
      </c>
      <c r="I17" t="str" cm="1">
        <f t="array" ref="I17">IF(K17="Visa klasser",IFERROR(INDEX(ekipage!B:B,MATCH(1,(ekipage!O:O=A17)*(ISNUMBER(ekipage!Q:Q)=FALSE),0)),""),"")</f>
        <v/>
      </c>
      <c r="J17" t="str" cm="1">
        <f t="array" ref="J17">IF(K17="Visa klasser",IFERROR(INDEX(ekipage!C:C, MATCH(1, (ekipage!O:O = A17) * (ISNUMBER(ekipage!Q:Q) = FALSE), 0)), "Ej individuell"),"Visar ej klasser")</f>
        <v>Visar ej klasser</v>
      </c>
      <c r="K17" t="s">
        <v>134</v>
      </c>
    </row>
    <row r="18" spans="1:11" x14ac:dyDescent="0.45">
      <c r="A18">
        <v>155140</v>
      </c>
      <c r="B18" t="s">
        <v>16</v>
      </c>
      <c r="I18" t="str" cm="1">
        <f t="array" ref="I18">IF(K18="Visa klasser",IFERROR(INDEX(ekipage!B:B,MATCH(1,(ekipage!O:O=A18)*(ISNUMBER(ekipage!Q:Q)=FALSE),0)),""),"")</f>
        <v/>
      </c>
      <c r="J18" t="str" cm="1">
        <f t="array" ref="J18">IF(K18="Visa klasser",IFERROR(INDEX(ekipage!C:C, MATCH(1, (ekipage!O:O = A18) * (ISNUMBER(ekipage!Q:Q) = FALSE), 0)), "Ej individuell"),"Visar ej klasser")</f>
        <v>Visar ej klasser</v>
      </c>
      <c r="K18" t="s">
        <v>134</v>
      </c>
    </row>
    <row r="19" spans="1:11" x14ac:dyDescent="0.45">
      <c r="A19">
        <v>101580</v>
      </c>
      <c r="B19" t="s">
        <v>75</v>
      </c>
      <c r="I19" t="str" cm="1">
        <f t="array" ref="I19">IF(K19="Visa klasser",IFERROR(INDEX(ekipage!B:B,MATCH(1,(ekipage!O:O=A19)*(ISNUMBER(ekipage!Q:Q)=FALSE),0)),""),"")</f>
        <v/>
      </c>
      <c r="J19" t="str" cm="1">
        <f t="array" ref="J19">IF(K19="Visa klasser",IFERROR(INDEX(ekipage!C:C, MATCH(1, (ekipage!O:O = A19) * (ISNUMBER(ekipage!Q:Q) = FALSE), 0)), "Ej individuell"),"Visar ej klasser")</f>
        <v>Visar ej klasser</v>
      </c>
      <c r="K19" t="s">
        <v>134</v>
      </c>
    </row>
    <row r="20" spans="1:11" x14ac:dyDescent="0.45">
      <c r="A20">
        <v>163943</v>
      </c>
      <c r="B20" t="s">
        <v>76</v>
      </c>
      <c r="I20" t="str" cm="1">
        <f t="array" ref="I20">IF(K20="Visa klasser",IFERROR(INDEX(ekipage!B:B,MATCH(1,(ekipage!O:O=A20)*(ISNUMBER(ekipage!Q:Q)=FALSE),0)),""),"")</f>
        <v/>
      </c>
      <c r="J20" t="str" cm="1">
        <f t="array" ref="J20">IF(K20="Visa klasser",IFERROR(INDEX(ekipage!C:C, MATCH(1, (ekipage!O:O = A20) * (ISNUMBER(ekipage!Q:Q) = FALSE), 0)), "Ej individuell"),"Visar ej klasser")</f>
        <v>Visar ej klasser</v>
      </c>
      <c r="K20" t="s">
        <v>134</v>
      </c>
    </row>
    <row r="21" spans="1:11" x14ac:dyDescent="0.45">
      <c r="A21">
        <v>164010</v>
      </c>
      <c r="B21" t="s">
        <v>64</v>
      </c>
      <c r="I21" t="str" cm="1">
        <f t="array" ref="I21">IF(K21="Visa klasser",IFERROR(INDEX(ekipage!B:B,MATCH(1,(ekipage!O:O=A21)*(ISNUMBER(ekipage!Q:Q)=FALSE),0)),""),"")</f>
        <v/>
      </c>
      <c r="J21" t="str" cm="1">
        <f t="array" ref="J21">IF(K21="Visa klasser",IFERROR(INDEX(ekipage!C:C, MATCH(1, (ekipage!O:O = A21) * (ISNUMBER(ekipage!Q:Q) = FALSE), 0)), "Ej individuell"),"Visar ej klasser")</f>
        <v>Visar ej klasser</v>
      </c>
      <c r="K21" t="s">
        <v>134</v>
      </c>
    </row>
    <row r="22" spans="1:11" x14ac:dyDescent="0.45">
      <c r="A22">
        <v>145535</v>
      </c>
      <c r="B22" t="s">
        <v>77</v>
      </c>
      <c r="I22" t="str" cm="1">
        <f t="array" ref="I22">IF(K22="Visa klasser",IFERROR(INDEX(ekipage!B:B,MATCH(1,(ekipage!O:O=A22)*(ISNUMBER(ekipage!Q:Q)=FALSE),0)),""),"")</f>
        <v/>
      </c>
      <c r="J22" t="str" cm="1">
        <f t="array" ref="J22">IF(K22="Visa klasser",IFERROR(INDEX(ekipage!C:C, MATCH(1, (ekipage!O:O = A22) * (ISNUMBER(ekipage!Q:Q) = FALSE), 0)), "Ej individuell"),"Visar ej klasser")</f>
        <v>Visar ej klasser</v>
      </c>
      <c r="K22" t="s">
        <v>134</v>
      </c>
    </row>
    <row r="23" spans="1:11" x14ac:dyDescent="0.45">
      <c r="A23">
        <v>182163</v>
      </c>
      <c r="B23" t="s">
        <v>78</v>
      </c>
      <c r="I23" t="str" cm="1">
        <f t="array" ref="I23">IF(K23="Visa klasser",IFERROR(INDEX(ekipage!B:B,MATCH(1,(ekipage!O:O=A23)*(ISNUMBER(ekipage!Q:Q)=FALSE),0)),""),"")</f>
        <v/>
      </c>
      <c r="J23" t="str" cm="1">
        <f t="array" ref="J23">IF(K23="Visa klasser",IFERROR(INDEX(ekipage!C:C, MATCH(1, (ekipage!O:O = A23) * (ISNUMBER(ekipage!Q:Q) = FALSE), 0)), "Ej individuell"),"Visar ej klasser")</f>
        <v>Visar ej klasser</v>
      </c>
      <c r="K23" t="s">
        <v>134</v>
      </c>
    </row>
    <row r="24" spans="1:11" x14ac:dyDescent="0.45">
      <c r="A24">
        <v>129688</v>
      </c>
      <c r="B24" t="s">
        <v>127</v>
      </c>
      <c r="I24" t="str" cm="1">
        <f t="array" ref="I24">IF(K24="Visa klasser",IFERROR(INDEX(ekipage!B:B,MATCH(1,(ekipage!O:O=A24)*(ISNUMBER(ekipage!Q:Q)=FALSE),0)),""),"")</f>
        <v/>
      </c>
      <c r="J24" t="str" cm="1">
        <f t="array" ref="J24">IF(K24="Visa klasser",IFERROR(INDEX(ekipage!C:C, MATCH(1, (ekipage!O:O = A24) * (ISNUMBER(ekipage!Q:Q) = FALSE), 0)), "Ej individuell"),"Visar ej klasser")</f>
        <v>Visar ej klasser</v>
      </c>
      <c r="K24" t="s">
        <v>134</v>
      </c>
    </row>
    <row r="25" spans="1:11" x14ac:dyDescent="0.45">
      <c r="A25">
        <v>134608</v>
      </c>
      <c r="B25" t="s">
        <v>128</v>
      </c>
      <c r="I25" t="str" cm="1">
        <f t="array" ref="I25">IF(K25="Visa klasser",IFERROR(INDEX(ekipage!B:B,MATCH(1,(ekipage!O:O=A25)*(ISNUMBER(ekipage!Q:Q)=FALSE),0)),""),"")</f>
        <v/>
      </c>
      <c r="J25" t="str" cm="1">
        <f t="array" ref="J25">IF(K25="Visa klasser",IFERROR(INDEX(ekipage!C:C, MATCH(1, (ekipage!O:O = A25) * (ISNUMBER(ekipage!Q:Q) = FALSE), 0)), "Ej individuell"),"Visar ej klasser")</f>
        <v>Visar ej klasser</v>
      </c>
      <c r="K25" t="s">
        <v>134</v>
      </c>
    </row>
    <row r="26" spans="1:11" x14ac:dyDescent="0.45">
      <c r="A26">
        <v>155124</v>
      </c>
      <c r="B26" t="s">
        <v>79</v>
      </c>
      <c r="I26" t="str" cm="1">
        <f t="array" ref="I26">IF(K26="Visa klasser",IFERROR(INDEX(ekipage!B:B,MATCH(1,(ekipage!O:O=A26)*(ISNUMBER(ekipage!Q:Q)=FALSE),0)),""),"")</f>
        <v/>
      </c>
      <c r="J26" t="str" cm="1">
        <f t="array" ref="J26">IF(K26="Visa klasser",IFERROR(INDEX(ekipage!C:C, MATCH(1, (ekipage!O:O = A26) * (ISNUMBER(ekipage!Q:Q) = FALSE), 0)), "Ej individuell"),"Visar ej klasser")</f>
        <v>Visar ej klasser</v>
      </c>
      <c r="K26" t="s">
        <v>134</v>
      </c>
    </row>
    <row r="27" spans="1:11" x14ac:dyDescent="0.45">
      <c r="A27">
        <v>200328</v>
      </c>
      <c r="B27" t="s">
        <v>23</v>
      </c>
      <c r="I27" t="str" cm="1">
        <f t="array" ref="I27">IF(K27="Visa klasser",IFERROR(INDEX(ekipage!B:B,MATCH(1,(ekipage!O:O=A27)*(ISNUMBER(ekipage!Q:Q)=FALSE),0)),""),"")</f>
        <v/>
      </c>
      <c r="J27" t="str" cm="1">
        <f t="array" ref="J27">IF(K27="Visa klasser",IFERROR(INDEX(ekipage!C:C, MATCH(1, (ekipage!O:O = A27) * (ISNUMBER(ekipage!Q:Q) = FALSE), 0)), "Ej individuell"),"Visar ej klasser")</f>
        <v>Visar ej klasser</v>
      </c>
      <c r="K27" t="s">
        <v>134</v>
      </c>
    </row>
    <row r="28" spans="1:11" x14ac:dyDescent="0.45">
      <c r="A28">
        <v>190842</v>
      </c>
      <c r="B28" t="s">
        <v>36</v>
      </c>
      <c r="I28" t="str" cm="1">
        <f t="array" ref="I28">IF(K28="Visa klasser",IFERROR(INDEX(ekipage!B:B,MATCH(1,(ekipage!O:O=A28)*(ISNUMBER(ekipage!Q:Q)=FALSE),0)),""),"")</f>
        <v/>
      </c>
      <c r="J28" t="str" cm="1">
        <f t="array" ref="J28">IF(K28="Visa klasser",IFERROR(INDEX(ekipage!C:C, MATCH(1, (ekipage!O:O = A28) * (ISNUMBER(ekipage!Q:Q) = FALSE), 0)), "Ej individuell"),"Visar ej klasser")</f>
        <v>Visar ej klasser</v>
      </c>
      <c r="K28" t="s">
        <v>134</v>
      </c>
    </row>
    <row r="29" spans="1:11" x14ac:dyDescent="0.45">
      <c r="A29">
        <v>178209</v>
      </c>
      <c r="B29" t="s">
        <v>129</v>
      </c>
      <c r="I29" t="str" cm="1">
        <f t="array" ref="I29">IF(K29="Visa klasser",IFERROR(INDEX(ekipage!B:B,MATCH(1,(ekipage!O:O=A29)*(ISNUMBER(ekipage!Q:Q)=FALSE),0)),""),"")</f>
        <v/>
      </c>
      <c r="J29" t="str" cm="1">
        <f t="array" ref="J29">IF(K29="Visa klasser",IFERROR(INDEX(ekipage!C:C, MATCH(1, (ekipage!O:O = A29) * (ISNUMBER(ekipage!Q:Q) = FALSE), 0)), "Ej individuell"),"Visar ej klasser")</f>
        <v>Visar ej klasser</v>
      </c>
      <c r="K29" t="s">
        <v>134</v>
      </c>
    </row>
    <row r="30" spans="1:11" x14ac:dyDescent="0.45">
      <c r="A30">
        <v>206123</v>
      </c>
      <c r="B30" t="s">
        <v>80</v>
      </c>
      <c r="I30" t="str" cm="1">
        <f t="array" ref="I30">IF(K30="Visa klasser",IFERROR(INDEX(ekipage!B:B,MATCH(1,(ekipage!O:O=A30)*(ISNUMBER(ekipage!Q:Q)=FALSE),0)),""),"")</f>
        <v/>
      </c>
      <c r="J30" t="str" cm="1">
        <f t="array" ref="J30">IF(K30="Visa klasser",IFERROR(INDEX(ekipage!C:C, MATCH(1, (ekipage!O:O = A30) * (ISNUMBER(ekipage!Q:Q) = FALSE), 0)), "Ej individuell"),"Visar ej klasser")</f>
        <v>Visar ej klasser</v>
      </c>
      <c r="K30" t="s">
        <v>134</v>
      </c>
    </row>
    <row r="31" spans="1:11" x14ac:dyDescent="0.45">
      <c r="A31">
        <v>171512</v>
      </c>
      <c r="B31" t="s">
        <v>81</v>
      </c>
      <c r="I31" t="str" cm="1">
        <f t="array" ref="I31">IF(K31="Visa klasser",IFERROR(INDEX(ekipage!B:B,MATCH(1,(ekipage!O:O=A31)*(ISNUMBER(ekipage!Q:Q)=FALSE),0)),""),"")</f>
        <v/>
      </c>
      <c r="J31" t="str" cm="1">
        <f t="array" ref="J31">IF(K31="Visa klasser",IFERROR(INDEX(ekipage!C:C, MATCH(1, (ekipage!O:O = A31) * (ISNUMBER(ekipage!Q:Q) = FALSE), 0)), "Ej individuell"),"Visar ej klasser")</f>
        <v>Visar ej klasser</v>
      </c>
      <c r="K31" t="s">
        <v>134</v>
      </c>
    </row>
    <row r="32" spans="1:11" x14ac:dyDescent="0.45">
      <c r="A32">
        <v>181877</v>
      </c>
      <c r="B32" t="s">
        <v>82</v>
      </c>
      <c r="I32" t="str" cm="1">
        <f t="array" ref="I32">IF(K32="Visa klasser",IFERROR(INDEX(ekipage!B:B,MATCH(1,(ekipage!O:O=A32)*(ISNUMBER(ekipage!Q:Q)=FALSE),0)),""),"")</f>
        <v/>
      </c>
      <c r="J32" t="str" cm="1">
        <f t="array" ref="J32">IF(K32="Visa klasser",IFERROR(INDEX(ekipage!C:C, MATCH(1, (ekipage!O:O = A32) * (ISNUMBER(ekipage!Q:Q) = FALSE), 0)), "Ej individuell"),"Visar ej klasser")</f>
        <v>Visar ej klasser</v>
      </c>
      <c r="K32" t="s">
        <v>134</v>
      </c>
    </row>
    <row r="33" spans="1:11" x14ac:dyDescent="0.45">
      <c r="A33">
        <v>201304</v>
      </c>
      <c r="B33" t="s">
        <v>83</v>
      </c>
      <c r="I33" t="str" cm="1">
        <f t="array" ref="I33">IF(K33="Visa klasser",IFERROR(INDEX(ekipage!B:B,MATCH(1,(ekipage!O:O=A33)*(ISNUMBER(ekipage!Q:Q)=FALSE),0)),""),"")</f>
        <v/>
      </c>
      <c r="J33" t="str" cm="1">
        <f t="array" ref="J33">IF(K33="Visa klasser",IFERROR(INDEX(ekipage!C:C, MATCH(1, (ekipage!O:O = A33) * (ISNUMBER(ekipage!Q:Q) = FALSE), 0)), "Ej individuell"),"Visar ej klasser")</f>
        <v>Visar ej klasser</v>
      </c>
      <c r="K33" t="s">
        <v>134</v>
      </c>
    </row>
    <row r="34" spans="1:11" x14ac:dyDescent="0.45">
      <c r="A34">
        <v>186888</v>
      </c>
      <c r="B34" t="s">
        <v>84</v>
      </c>
      <c r="I34" t="str" cm="1">
        <f t="array" ref="I34">IF(K34="Visa klasser",IFERROR(INDEX(ekipage!B:B,MATCH(1,(ekipage!O:O=A34)*(ISNUMBER(ekipage!Q:Q)=FALSE),0)),""),"")</f>
        <v/>
      </c>
      <c r="J34" t="str" cm="1">
        <f t="array" ref="J34">IF(K34="Visa klasser",IFERROR(INDEX(ekipage!C:C, MATCH(1, (ekipage!O:O = A34) * (ISNUMBER(ekipage!Q:Q) = FALSE), 0)), "Ej individuell"),"Visar ej klasser")</f>
        <v>Visar ej klasser</v>
      </c>
      <c r="K34" t="s">
        <v>134</v>
      </c>
    </row>
    <row r="35" spans="1:11" x14ac:dyDescent="0.45">
      <c r="A35">
        <v>200754</v>
      </c>
      <c r="B35" t="s">
        <v>85</v>
      </c>
      <c r="I35" t="str" cm="1">
        <f t="array" ref="I35">IF(K35="Visa klasser",IFERROR(INDEX(ekipage!B:B,MATCH(1,(ekipage!O:O=A35)*(ISNUMBER(ekipage!Q:Q)=FALSE),0)),""),"")</f>
        <v/>
      </c>
      <c r="J35" t="str" cm="1">
        <f t="array" ref="J35">IF(K35="Visa klasser",IFERROR(INDEX(ekipage!C:C, MATCH(1, (ekipage!O:O = A35) * (ISNUMBER(ekipage!Q:Q) = FALSE), 0)), "Ej individuell"),"Visar ej klasser")</f>
        <v>Visar ej klasser</v>
      </c>
      <c r="K35" t="s">
        <v>134</v>
      </c>
    </row>
    <row r="36" spans="1:11" x14ac:dyDescent="0.45">
      <c r="A36">
        <v>195029</v>
      </c>
      <c r="B36" t="s">
        <v>26</v>
      </c>
      <c r="I36" t="str" cm="1">
        <f t="array" ref="I36">IF(K36="Visa klasser",IFERROR(INDEX(ekipage!B:B,MATCH(1,(ekipage!O:O=A36)*(ISNUMBER(ekipage!Q:Q)=FALSE),0)),""),"")</f>
        <v/>
      </c>
      <c r="J36" t="str" cm="1">
        <f t="array" ref="J36">IF(K36="Visa klasser",IFERROR(INDEX(ekipage!C:C, MATCH(1, (ekipage!O:O = A36) * (ISNUMBER(ekipage!Q:Q) = FALSE), 0)), "Ej individuell"),"Visar ej klasser")</f>
        <v>Visar ej klasser</v>
      </c>
      <c r="K36" t="s">
        <v>134</v>
      </c>
    </row>
    <row r="37" spans="1:11" x14ac:dyDescent="0.45">
      <c r="A37">
        <v>195002</v>
      </c>
      <c r="B37" t="s">
        <v>30</v>
      </c>
      <c r="I37" t="str" cm="1">
        <f t="array" ref="I37">IF(K37="Visa klasser",IFERROR(INDEX(ekipage!B:B,MATCH(1,(ekipage!O:O=A37)*(ISNUMBER(ekipage!Q:Q)=FALSE),0)),""),"")</f>
        <v/>
      </c>
      <c r="J37" t="str" cm="1">
        <f t="array" ref="J37">IF(K37="Visa klasser",IFERROR(INDEX(ekipage!C:C, MATCH(1, (ekipage!O:O = A37) * (ISNUMBER(ekipage!Q:Q) = FALSE), 0)), "Ej individuell"),"Visar ej klasser")</f>
        <v>Visar ej klasser</v>
      </c>
      <c r="K37" t="s">
        <v>134</v>
      </c>
    </row>
    <row r="38" spans="1:11" x14ac:dyDescent="0.45">
      <c r="A38">
        <v>194941</v>
      </c>
      <c r="B38" t="s">
        <v>27</v>
      </c>
      <c r="I38" t="str" cm="1">
        <f t="array" ref="I38">IF(K38="Visa klasser",IFERROR(INDEX(ekipage!B:B,MATCH(1,(ekipage!O:O=A38)*(ISNUMBER(ekipage!Q:Q)=FALSE),0)),""),"")</f>
        <v/>
      </c>
      <c r="J38" t="str" cm="1">
        <f t="array" ref="J38">IF(K38="Visa klasser",IFERROR(INDEX(ekipage!C:C, MATCH(1, (ekipage!O:O = A38) * (ISNUMBER(ekipage!Q:Q) = FALSE), 0)), "Ej individuell"),"Visar ej klasser")</f>
        <v>Visar ej klasser</v>
      </c>
      <c r="K38" t="s">
        <v>134</v>
      </c>
    </row>
    <row r="39" spans="1:11" x14ac:dyDescent="0.45">
      <c r="A39">
        <v>202342</v>
      </c>
      <c r="B39" t="s">
        <v>86</v>
      </c>
      <c r="I39" t="str" cm="1">
        <f t="array" ref="I39">IF(K39="Visa klasser",IFERROR(INDEX(ekipage!B:B,MATCH(1,(ekipage!O:O=A39)*(ISNUMBER(ekipage!Q:Q)=FALSE),0)),""),"")</f>
        <v/>
      </c>
      <c r="J39" t="str" cm="1">
        <f t="array" ref="J39">IF(K39="Visa klasser",IFERROR(INDEX(ekipage!C:C, MATCH(1, (ekipage!O:O = A39) * (ISNUMBER(ekipage!Q:Q) = FALSE), 0)), "Ej individuell"),"Visar ej klasser")</f>
        <v>Visar ej klasser</v>
      </c>
      <c r="K39" t="s">
        <v>134</v>
      </c>
    </row>
    <row r="40" spans="1:11" x14ac:dyDescent="0.45">
      <c r="A40">
        <v>195003</v>
      </c>
      <c r="B40" t="s">
        <v>28</v>
      </c>
      <c r="I40" t="str" cm="1">
        <f t="array" ref="I40">IF(K40="Visa klasser",IFERROR(INDEX(ekipage!B:B,MATCH(1,(ekipage!O:O=A40)*(ISNUMBER(ekipage!Q:Q)=FALSE),0)),""),"")</f>
        <v/>
      </c>
      <c r="J40" t="str" cm="1">
        <f t="array" ref="J40">IF(K40="Visa klasser",IFERROR(INDEX(ekipage!C:C, MATCH(1, (ekipage!O:O = A40) * (ISNUMBER(ekipage!Q:Q) = FALSE), 0)), "Ej individuell"),"Visar ej klasser")</f>
        <v>Visar ej klasser</v>
      </c>
      <c r="K40" t="s">
        <v>134</v>
      </c>
    </row>
    <row r="41" spans="1:11" x14ac:dyDescent="0.45">
      <c r="A41">
        <v>202327</v>
      </c>
      <c r="B41" t="s">
        <v>25</v>
      </c>
      <c r="I41" t="str" cm="1">
        <f t="array" ref="I41">IF(K41="Visa klasser",IFERROR(INDEX(ekipage!B:B,MATCH(1,(ekipage!O:O=A41)*(ISNUMBER(ekipage!Q:Q)=FALSE),0)),""),"")</f>
        <v/>
      </c>
      <c r="J41" t="str" cm="1">
        <f t="array" ref="J41">IF(K41="Visa klasser",IFERROR(INDEX(ekipage!C:C, MATCH(1, (ekipage!O:O = A41) * (ISNUMBER(ekipage!Q:Q) = FALSE), 0)), "Ej individuell"),"Visar ej klasser")</f>
        <v>Visar ej klasser</v>
      </c>
      <c r="K41" t="s">
        <v>134</v>
      </c>
    </row>
    <row r="42" spans="1:11" x14ac:dyDescent="0.45">
      <c r="A42">
        <v>202520</v>
      </c>
      <c r="B42" t="s">
        <v>29</v>
      </c>
      <c r="I42" t="str" cm="1">
        <f t="array" ref="I42">IF(K42="Visa klasser",IFERROR(INDEX(ekipage!B:B,MATCH(1,(ekipage!O:O=A42)*(ISNUMBER(ekipage!Q:Q)=FALSE),0)),""),"")</f>
        <v/>
      </c>
      <c r="J42" t="str" cm="1">
        <f t="array" ref="J42">IF(K42="Visa klasser",IFERROR(INDEX(ekipage!C:C, MATCH(1, (ekipage!O:O = A42) * (ISNUMBER(ekipage!Q:Q) = FALSE), 0)), "Ej individuell"),"Visar ej klasser")</f>
        <v>Visar ej klasser</v>
      </c>
      <c r="K42" t="s">
        <v>134</v>
      </c>
    </row>
    <row r="43" spans="1:11" x14ac:dyDescent="0.45">
      <c r="A43">
        <v>205893</v>
      </c>
      <c r="B43" t="s">
        <v>87</v>
      </c>
      <c r="I43" t="str" cm="1">
        <f t="array" ref="I43">IF(K43="Visa klasser",IFERROR(INDEX(ekipage!B:B,MATCH(1,(ekipage!O:O=A43)*(ISNUMBER(ekipage!Q:Q)=FALSE),0)),""),"")</f>
        <v/>
      </c>
      <c r="J43" t="str" cm="1">
        <f t="array" ref="J43">IF(K43="Visa klasser",IFERROR(INDEX(ekipage!C:C, MATCH(1, (ekipage!O:O = A43) * (ISNUMBER(ekipage!Q:Q) = FALSE), 0)), "Ej individuell"),"Visar ej klasser")</f>
        <v>Visar ej klasser</v>
      </c>
      <c r="K43" t="s">
        <v>134</v>
      </c>
    </row>
    <row r="44" spans="1:11" x14ac:dyDescent="0.45">
      <c r="A44">
        <v>194944</v>
      </c>
      <c r="B44" t="s">
        <v>31</v>
      </c>
      <c r="I44" t="str" cm="1">
        <f t="array" ref="I44">IF(K44="Visa klasser",IFERROR(INDEX(ekipage!B:B,MATCH(1,(ekipage!O:O=A44)*(ISNUMBER(ekipage!Q:Q)=FALSE),0)),""),"")</f>
        <v/>
      </c>
      <c r="J44" t="str" cm="1">
        <f t="array" ref="J44">IF(K44="Visa klasser",IFERROR(INDEX(ekipage!C:C, MATCH(1, (ekipage!O:O = A44) * (ISNUMBER(ekipage!Q:Q) = FALSE), 0)), "Ej individuell"),"Visar ej klasser")</f>
        <v>Visar ej klasser</v>
      </c>
      <c r="K44" t="s">
        <v>134</v>
      </c>
    </row>
    <row r="45" spans="1:11" x14ac:dyDescent="0.45">
      <c r="A45">
        <v>203576</v>
      </c>
      <c r="B45" t="s">
        <v>88</v>
      </c>
      <c r="I45" t="str" cm="1">
        <f t="array" ref="I45">IF(K45="Visa klasser",IFERROR(INDEX(ekipage!B:B,MATCH(1,(ekipage!O:O=A45)*(ISNUMBER(ekipage!Q:Q)=FALSE),0)),""),"")</f>
        <v/>
      </c>
      <c r="J45" t="str" cm="1">
        <f t="array" ref="J45">IF(K45="Visa klasser",IFERROR(INDEX(ekipage!C:C, MATCH(1, (ekipage!O:O = A45) * (ISNUMBER(ekipage!Q:Q) = FALSE), 0)), "Ej individuell"),"Visar ej klasser")</f>
        <v>Visar ej klasser</v>
      </c>
      <c r="K45" t="s">
        <v>134</v>
      </c>
    </row>
    <row r="46" spans="1:11" x14ac:dyDescent="0.45">
      <c r="A46">
        <v>190728</v>
      </c>
      <c r="B46" t="s">
        <v>89</v>
      </c>
      <c r="I46" t="str" cm="1">
        <f t="array" ref="I46">IF(K46="Visa klasser",IFERROR(INDEX(ekipage!B:B,MATCH(1,(ekipage!O:O=A46)*(ISNUMBER(ekipage!Q:Q)=FALSE),0)),""),"")</f>
        <v/>
      </c>
      <c r="J46" t="str" cm="1">
        <f t="array" ref="J46">IF(K46="Visa klasser",IFERROR(INDEX(ekipage!C:C, MATCH(1, (ekipage!O:O = A46) * (ISNUMBER(ekipage!Q:Q) = FALSE), 0)), "Ej individuell"),"Visar ej klasser")</f>
        <v>Visar ej klasser</v>
      </c>
      <c r="K46" t="s">
        <v>134</v>
      </c>
    </row>
    <row r="47" spans="1:11" x14ac:dyDescent="0.45">
      <c r="A47">
        <v>203579</v>
      </c>
      <c r="B47" t="s">
        <v>90</v>
      </c>
      <c r="I47" t="str" cm="1">
        <f t="array" ref="I47">IF(K47="Visa klasser",IFERROR(INDEX(ekipage!B:B,MATCH(1,(ekipage!O:O=A47)*(ISNUMBER(ekipage!Q:Q)=FALSE),0)),""),"")</f>
        <v/>
      </c>
      <c r="J47" t="str" cm="1">
        <f t="array" ref="J47">IF(K47="Visa klasser",IFERROR(INDEX(ekipage!C:C, MATCH(1, (ekipage!O:O = A47) * (ISNUMBER(ekipage!Q:Q) = FALSE), 0)), "Ej individuell"),"Visar ej klasser")</f>
        <v>Visar ej klasser</v>
      </c>
      <c r="K47" t="s">
        <v>134</v>
      </c>
    </row>
    <row r="48" spans="1:11" x14ac:dyDescent="0.45">
      <c r="A48">
        <v>206216</v>
      </c>
      <c r="B48" t="s">
        <v>91</v>
      </c>
      <c r="I48" t="str" cm="1">
        <f t="array" ref="I48">IF(K48="Visa klasser",IFERROR(INDEX(ekipage!B:B,MATCH(1,(ekipage!O:O=A48)*(ISNUMBER(ekipage!Q:Q)=FALSE),0)),""),"")</f>
        <v/>
      </c>
      <c r="J48" t="str" cm="1">
        <f t="array" ref="J48">IF(K48="Visa klasser",IFERROR(INDEX(ekipage!C:C, MATCH(1, (ekipage!O:O = A48) * (ISNUMBER(ekipage!Q:Q) = FALSE), 0)), "Ej individuell"),"Visar ej klasser")</f>
        <v>Visar ej klasser</v>
      </c>
      <c r="K48" t="s">
        <v>134</v>
      </c>
    </row>
    <row r="49" spans="1:11" x14ac:dyDescent="0.45">
      <c r="A49">
        <v>204013</v>
      </c>
      <c r="B49" t="s">
        <v>92</v>
      </c>
      <c r="I49" t="str" cm="1">
        <f t="array" ref="I49">IF(K49="Visa klasser",IFERROR(INDEX(ekipage!B:B,MATCH(1,(ekipage!O:O=A49)*(ISNUMBER(ekipage!Q:Q)=FALSE),0)),""),"")</f>
        <v/>
      </c>
      <c r="J49" t="str" cm="1">
        <f t="array" ref="J49">IF(K49="Visa klasser",IFERROR(INDEX(ekipage!C:C, MATCH(1, (ekipage!O:O = A49) * (ISNUMBER(ekipage!Q:Q) = FALSE), 0)), "Ej individuell"),"Visar ej klasser")</f>
        <v>Visar ej klasser</v>
      </c>
      <c r="K49" t="s">
        <v>134</v>
      </c>
    </row>
    <row r="50" spans="1:11" x14ac:dyDescent="0.45">
      <c r="A50">
        <v>195035</v>
      </c>
      <c r="B50" t="s">
        <v>93</v>
      </c>
      <c r="I50" t="str" cm="1">
        <f t="array" ref="I50">IF(K50="Visa klasser",IFERROR(INDEX(ekipage!B:B,MATCH(1,(ekipage!O:O=A50)*(ISNUMBER(ekipage!Q:Q)=FALSE),0)),""),"")</f>
        <v/>
      </c>
      <c r="J50" t="str" cm="1">
        <f t="array" ref="J50">IF(K50="Visa klasser",IFERROR(INDEX(ekipage!C:C, MATCH(1, (ekipage!O:O = A50) * (ISNUMBER(ekipage!Q:Q) = FALSE), 0)), "Ej individuell"),"Visar ej klasser")</f>
        <v>Visar ej klasser</v>
      </c>
      <c r="K50" t="s">
        <v>134</v>
      </c>
    </row>
    <row r="51" spans="1:11" x14ac:dyDescent="0.45">
      <c r="A51">
        <v>195019</v>
      </c>
      <c r="B51" t="s">
        <v>94</v>
      </c>
      <c r="I51" t="str" cm="1">
        <f t="array" ref="I51">IF(K51="Visa klasser",IFERROR(INDEX(ekipage!B:B,MATCH(1,(ekipage!O:O=A51)*(ISNUMBER(ekipage!Q:Q)=FALSE),0)),""),"")</f>
        <v/>
      </c>
      <c r="J51" t="str" cm="1">
        <f t="array" ref="J51">IF(K51="Visa klasser",IFERROR(INDEX(ekipage!C:C, MATCH(1, (ekipage!O:O = A51) * (ISNUMBER(ekipage!Q:Q) = FALSE), 0)), "Ej individuell"),"Visar ej klasser")</f>
        <v>Visar ej klasser</v>
      </c>
      <c r="K51" t="s">
        <v>134</v>
      </c>
    </row>
    <row r="52" spans="1:11" x14ac:dyDescent="0.45">
      <c r="A52">
        <v>29744</v>
      </c>
      <c r="B52" t="s">
        <v>95</v>
      </c>
      <c r="I52" t="str" cm="1">
        <f t="array" ref="I52">IF(K52="Visa klasser",IFERROR(INDEX(ekipage!B:B,MATCH(1,(ekipage!O:O=A52)*(ISNUMBER(ekipage!Q:Q)=FALSE),0)),""),"")</f>
        <v/>
      </c>
      <c r="J52" t="str" cm="1">
        <f t="array" ref="J52">IF(K52="Visa klasser",IFERROR(INDEX(ekipage!C:C, MATCH(1, (ekipage!O:O = A52) * (ISNUMBER(ekipage!Q:Q) = FALSE), 0)), "Ej individuell"),"Visar ej klasser")</f>
        <v>Visar ej klasser</v>
      </c>
      <c r="K52" t="s">
        <v>134</v>
      </c>
    </row>
    <row r="53" spans="1:11" x14ac:dyDescent="0.45">
      <c r="A53">
        <v>163633</v>
      </c>
      <c r="B53" t="s">
        <v>35</v>
      </c>
      <c r="I53" t="str" cm="1">
        <f t="array" ref="I53">IF(K53="Visa klasser",IFERROR(INDEX(ekipage!B:B,MATCH(1,(ekipage!O:O=A53)*(ISNUMBER(ekipage!Q:Q)=FALSE),0)),""),"")</f>
        <v/>
      </c>
      <c r="J53" t="str" cm="1">
        <f t="array" ref="J53">IF(K53="Visa klasser",IFERROR(INDEX(ekipage!C:C, MATCH(1, (ekipage!O:O = A53) * (ISNUMBER(ekipage!Q:Q) = FALSE), 0)), "Ej individuell"),"Visar ej klasser")</f>
        <v>Visar ej klasser</v>
      </c>
      <c r="K53" t="s">
        <v>134</v>
      </c>
    </row>
    <row r="54" spans="1:11" x14ac:dyDescent="0.45">
      <c r="A54">
        <v>206243</v>
      </c>
      <c r="B54" t="s">
        <v>96</v>
      </c>
      <c r="I54" t="str" cm="1">
        <f t="array" ref="I54">IF(K54="Visa klasser",IFERROR(INDEX(ekipage!B:B,MATCH(1,(ekipage!O:O=A54)*(ISNUMBER(ekipage!Q:Q)=FALSE),0)),""),"")</f>
        <v/>
      </c>
      <c r="J54" t="str" cm="1">
        <f t="array" ref="J54">IF(K54="Visa klasser",IFERROR(INDEX(ekipage!C:C, MATCH(1, (ekipage!O:O = A54) * (ISNUMBER(ekipage!Q:Q) = FALSE), 0)), "Ej individuell"),"Visar ej klasser")</f>
        <v>Visar ej klasser</v>
      </c>
      <c r="K54" t="s">
        <v>134</v>
      </c>
    </row>
    <row r="55" spans="1:11" x14ac:dyDescent="0.45">
      <c r="A55">
        <v>169428</v>
      </c>
      <c r="B55" t="s">
        <v>37</v>
      </c>
      <c r="I55" t="str" cm="1">
        <f t="array" ref="I55">IF(K55="Visa klasser",IFERROR(INDEX(ekipage!B:B,MATCH(1,(ekipage!O:O=A55)*(ISNUMBER(ekipage!Q:Q)=FALSE),0)),""),"")</f>
        <v/>
      </c>
      <c r="J55" t="str" cm="1">
        <f t="array" ref="J55">IF(K55="Visa klasser",IFERROR(INDEX(ekipage!C:C, MATCH(1, (ekipage!O:O = A55) * (ISNUMBER(ekipage!Q:Q) = FALSE), 0)), "Ej individuell"),"Visar ej klasser")</f>
        <v>Visar ej klasser</v>
      </c>
      <c r="K55" t="s">
        <v>134</v>
      </c>
    </row>
    <row r="56" spans="1:11" x14ac:dyDescent="0.45">
      <c r="A56">
        <v>186749</v>
      </c>
      <c r="B56" t="s">
        <v>38</v>
      </c>
      <c r="I56" t="str" cm="1">
        <f t="array" ref="I56">IF(K56="Visa klasser",IFERROR(INDEX(ekipage!B:B,MATCH(1,(ekipage!O:O=A56)*(ISNUMBER(ekipage!Q:Q)=FALSE),0)),""),"")</f>
        <v/>
      </c>
      <c r="J56" t="str" cm="1">
        <f t="array" ref="J56">IF(K56="Visa klasser",IFERROR(INDEX(ekipage!C:C, MATCH(1, (ekipage!O:O = A56) * (ISNUMBER(ekipage!Q:Q) = FALSE), 0)), "Ej individuell"),"Visar ej klasser")</f>
        <v>Visar ej klasser</v>
      </c>
      <c r="K56" t="s">
        <v>134</v>
      </c>
    </row>
    <row r="57" spans="1:11" x14ac:dyDescent="0.45">
      <c r="A57">
        <v>172842</v>
      </c>
      <c r="B57" t="s">
        <v>97</v>
      </c>
      <c r="I57" t="str" cm="1">
        <f t="array" ref="I57">IF(K57="Visa klasser",IFERROR(INDEX(ekipage!B:B,MATCH(1,(ekipage!O:O=A57)*(ISNUMBER(ekipage!Q:Q)=FALSE),0)),""),"")</f>
        <v/>
      </c>
      <c r="J57" t="str" cm="1">
        <f t="array" ref="J57">IF(K57="Visa klasser",IFERROR(INDEX(ekipage!C:C, MATCH(1, (ekipage!O:O = A57) * (ISNUMBER(ekipage!Q:Q) = FALSE), 0)), "Ej individuell"),"Visar ej klasser")</f>
        <v>Visar ej klasser</v>
      </c>
      <c r="K57" t="s">
        <v>134</v>
      </c>
    </row>
    <row r="58" spans="1:11" x14ac:dyDescent="0.45">
      <c r="A58">
        <v>186751</v>
      </c>
      <c r="B58" t="s">
        <v>5</v>
      </c>
      <c r="I58" t="str" cm="1">
        <f t="array" ref="I58">IF(K58="Visa klasser",IFERROR(INDEX(ekipage!B:B,MATCH(1,(ekipage!O:O=A58)*(ISNUMBER(ekipage!Q:Q)=FALSE),0)),""),"")</f>
        <v/>
      </c>
      <c r="J58" t="str" cm="1">
        <f t="array" ref="J58">IF(K58="Visa klasser",IFERROR(INDEX(ekipage!C:C, MATCH(1, (ekipage!O:O = A58) * (ISNUMBER(ekipage!Q:Q) = FALSE), 0)), "Ej individuell"),"Visar ej klasser")</f>
        <v>Visar ej klasser</v>
      </c>
      <c r="K58" t="s">
        <v>134</v>
      </c>
    </row>
    <row r="59" spans="1:11" x14ac:dyDescent="0.45">
      <c r="A59">
        <v>186781</v>
      </c>
      <c r="B59" t="s">
        <v>34</v>
      </c>
      <c r="I59" t="str" cm="1">
        <f t="array" ref="I59">IF(K59="Visa klasser",IFERROR(INDEX(ekipage!B:B,MATCH(1,(ekipage!O:O=A59)*(ISNUMBER(ekipage!Q:Q)=FALSE),0)),""),"")</f>
        <v/>
      </c>
      <c r="J59" t="str" cm="1">
        <f t="array" ref="J59">IF(K59="Visa klasser",IFERROR(INDEX(ekipage!C:C, MATCH(1, (ekipage!O:O = A59) * (ISNUMBER(ekipage!Q:Q) = FALSE), 0)), "Ej individuell"),"Visar ej klasser")</f>
        <v>Visar ej klasser</v>
      </c>
      <c r="K59" t="s">
        <v>134</v>
      </c>
    </row>
    <row r="60" spans="1:11" x14ac:dyDescent="0.45">
      <c r="A60">
        <v>195012</v>
      </c>
      <c r="B60" t="s">
        <v>32</v>
      </c>
      <c r="I60" t="str" cm="1">
        <f t="array" ref="I60">IF(K60="Visa klasser",IFERROR(INDEX(ekipage!B:B,MATCH(1,(ekipage!O:O=A60)*(ISNUMBER(ekipage!Q:Q)=FALSE),0)),""),"")</f>
        <v/>
      </c>
      <c r="J60" t="str" cm="1">
        <f t="array" ref="J60">IF(K60="Visa klasser",IFERROR(INDEX(ekipage!C:C, MATCH(1, (ekipage!O:O = A60) * (ISNUMBER(ekipage!Q:Q) = FALSE), 0)), "Ej individuell"),"Visar ej klasser")</f>
        <v>Visar ej klasser</v>
      </c>
      <c r="K60" t="s">
        <v>134</v>
      </c>
    </row>
    <row r="61" spans="1:11" x14ac:dyDescent="0.45">
      <c r="A61">
        <v>186646</v>
      </c>
      <c r="B61" t="s">
        <v>33</v>
      </c>
      <c r="I61" t="str" cm="1">
        <f t="array" ref="I61">IF(K61="Visa klasser",IFERROR(INDEX(ekipage!B:B,MATCH(1,(ekipage!O:O=A61)*(ISNUMBER(ekipage!Q:Q)=FALSE),0)),""),"")</f>
        <v/>
      </c>
      <c r="J61" t="str" cm="1">
        <f t="array" ref="J61">IF(K61="Visa klasser",IFERROR(INDEX(ekipage!C:C, MATCH(1, (ekipage!O:O = A61) * (ISNUMBER(ekipage!Q:Q) = FALSE), 0)), "Ej individuell"),"Visar ej klasser")</f>
        <v>Visar ej klasser</v>
      </c>
      <c r="K61" t="s">
        <v>134</v>
      </c>
    </row>
    <row r="62" spans="1:11" x14ac:dyDescent="0.45">
      <c r="A62">
        <v>90</v>
      </c>
      <c r="B62" t="s">
        <v>149</v>
      </c>
      <c r="I62" t="str" cm="1">
        <f t="array" ref="I62">IF(K62="Visa klasser",IFERROR(INDEX(ekipage!B:B,MATCH(1,(ekipage!O:O=A62)*(ISNUMBER(ekipage!Q:Q)=FALSE),0)),""),"")</f>
        <v/>
      </c>
      <c r="J62" t="str" cm="1">
        <f t="array" ref="J62">IF(K62="Visa klasser",IFERROR(INDEX(ekipage!C:C, MATCH(1, (ekipage!O:O = A62) * (ISNUMBER(ekipage!Q:Q) = FALSE), 0)), "Ej individuell"),"Visar ej klasser")</f>
        <v>Visar ej klasser</v>
      </c>
      <c r="K62" t="s">
        <v>134</v>
      </c>
    </row>
    <row r="63" spans="1:11" x14ac:dyDescent="0.45">
      <c r="A63">
        <v>91</v>
      </c>
      <c r="B63" t="s">
        <v>150</v>
      </c>
      <c r="I63" t="str" cm="1">
        <f t="array" ref="I63">IF(K63="Visa klasser",IFERROR(INDEX(ekipage!B:B,MATCH(1,(ekipage!O:O=A63)*(ISNUMBER(ekipage!Q:Q)=FALSE),0)),""),"")</f>
        <v/>
      </c>
      <c r="J63" t="str" cm="1">
        <f t="array" ref="J63">IF(K63="Visa klasser",IFERROR(INDEX(ekipage!C:C, MATCH(1, (ekipage!O:O = A63) * (ISNUMBER(ekipage!Q:Q) = FALSE), 0)), "Ej individuell"),"Visar ej klasser")</f>
        <v>Visar ej klasser</v>
      </c>
      <c r="K63" t="s">
        <v>134</v>
      </c>
    </row>
    <row r="64" spans="1:11" x14ac:dyDescent="0.45">
      <c r="A64">
        <v>92</v>
      </c>
      <c r="B64" t="s">
        <v>151</v>
      </c>
      <c r="I64" t="str" cm="1">
        <f t="array" ref="I64">IF(K64="Visa klasser",IFERROR(INDEX(ekipage!B:B,MATCH(1,(ekipage!O:O=A64)*(ISNUMBER(ekipage!Q:Q)=FALSE),0)),""),"")</f>
        <v/>
      </c>
      <c r="J64" t="str" cm="1">
        <f t="array" ref="J64">IF(K64="Visa klasser",IFERROR(INDEX(ekipage!C:C, MATCH(1, (ekipage!O:O = A64) * (ISNUMBER(ekipage!Q:Q) = FALSE), 0)), "Ej individuell"),"Visar ej klasser")</f>
        <v>Visar ej klasser</v>
      </c>
      <c r="K64" t="s">
        <v>134</v>
      </c>
    </row>
    <row r="65" spans="1:11" x14ac:dyDescent="0.45">
      <c r="A65">
        <v>93</v>
      </c>
      <c r="B65" t="s">
        <v>152</v>
      </c>
      <c r="I65" t="str" cm="1">
        <f t="array" ref="I65">IF(K65="Visa klasser",IFERROR(INDEX(ekipage!B:B,MATCH(1,(ekipage!O:O=A65)*(ISNUMBER(ekipage!Q:Q)=FALSE),0)),""),"")</f>
        <v/>
      </c>
      <c r="J65" t="str" cm="1">
        <f t="array" ref="J65">IF(K65="Visa klasser",IFERROR(INDEX(ekipage!C:C, MATCH(1, (ekipage!O:O = A65) * (ISNUMBER(ekipage!Q:Q) = FALSE), 0)), "Ej individuell"),"Visar ej klasser")</f>
        <v>Visar ej klasser</v>
      </c>
      <c r="K65" t="s">
        <v>134</v>
      </c>
    </row>
    <row r="66" spans="1:11" x14ac:dyDescent="0.45">
      <c r="A66">
        <v>94</v>
      </c>
      <c r="B66" t="s">
        <v>153</v>
      </c>
      <c r="I66" t="str" cm="1">
        <f t="array" ref="I66">IF(K66="Visa klasser",IFERROR(INDEX(ekipage!B:B,MATCH(1,(ekipage!O:O=A66)*(ISNUMBER(ekipage!Q:Q)=FALSE),0)),""),"")</f>
        <v/>
      </c>
      <c r="J66" t="str" cm="1">
        <f t="array" ref="J66">IF(K66="Visa klasser",IFERROR(INDEX(ekipage!C:C, MATCH(1, (ekipage!O:O = A66) * (ISNUMBER(ekipage!Q:Q) = FALSE), 0)), "Ej individuell"),"Visar ej klasser")</f>
        <v>Visar ej klasser</v>
      </c>
      <c r="K66" t="s">
        <v>134</v>
      </c>
    </row>
    <row r="67" spans="1:11" x14ac:dyDescent="0.45">
      <c r="A67">
        <v>95</v>
      </c>
      <c r="B67" t="s">
        <v>154</v>
      </c>
      <c r="I67" t="str" cm="1">
        <f t="array" ref="I67">IF(K67="Visa klasser",IFERROR(INDEX(ekipage!B:B,MATCH(1,(ekipage!O:O=A67)*(ISNUMBER(ekipage!Q:Q)=FALSE),0)),""),"")</f>
        <v/>
      </c>
      <c r="J67" t="str" cm="1">
        <f t="array" ref="J67">IF(K67="Visa klasser",IFERROR(INDEX(ekipage!C:C, MATCH(1, (ekipage!O:O = A67) * (ISNUMBER(ekipage!Q:Q) = FALSE), 0)), "Ej individuell"),"Visar ej klasser")</f>
        <v>Visar ej klasser</v>
      </c>
      <c r="K67" t="s">
        <v>134</v>
      </c>
    </row>
    <row r="68" spans="1:11" x14ac:dyDescent="0.45">
      <c r="A68">
        <v>96</v>
      </c>
      <c r="B68" t="s">
        <v>155</v>
      </c>
      <c r="I68" t="str" cm="1">
        <f t="array" ref="I68">IF(K68="Visa klasser",IFERROR(INDEX(ekipage!B:B,MATCH(1,(ekipage!O:O=A68)*(ISNUMBER(ekipage!Q:Q)=FALSE),0)),""),"")</f>
        <v/>
      </c>
      <c r="J68" t="str" cm="1">
        <f t="array" ref="J68">IF(K68="Visa klasser",IFERROR(INDEX(ekipage!C:C, MATCH(1, (ekipage!O:O = A68) * (ISNUMBER(ekipage!Q:Q) = FALSE), 0)), "Ej individuell"),"Visar ej klasser")</f>
        <v>Visar ej klasser</v>
      </c>
      <c r="K68" t="s">
        <v>134</v>
      </c>
    </row>
    <row r="69" spans="1:11" x14ac:dyDescent="0.45">
      <c r="A69">
        <v>97</v>
      </c>
      <c r="B69" t="s">
        <v>5</v>
      </c>
      <c r="I69" t="str" cm="1">
        <f t="array" ref="I69">IF(K69="Visa klasser",IFERROR(INDEX(ekipage!B:B,MATCH(1,(ekipage!O:O=A69)*(ISNUMBER(ekipage!Q:Q)=FALSE),0)),""),"")</f>
        <v/>
      </c>
      <c r="J69" t="str" cm="1">
        <f t="array" ref="J69">IF(K69="Visa klasser",IFERROR(INDEX(ekipage!C:C, MATCH(1, (ekipage!O:O = A69) * (ISNUMBER(ekipage!Q:Q) = FALSE), 0)), "Ej individuell"),"Visar ej klasser")</f>
        <v>Visar ej klasser</v>
      </c>
      <c r="K69" t="s">
        <v>134</v>
      </c>
    </row>
    <row r="70" spans="1:11" x14ac:dyDescent="0.45">
      <c r="A70">
        <v>98</v>
      </c>
      <c r="B70" t="s">
        <v>77</v>
      </c>
      <c r="I70" t="str" cm="1">
        <f t="array" ref="I70">IF(K70="Visa klasser",IFERROR(INDEX(ekipage!B:B,MATCH(1,(ekipage!O:O=A70)*(ISNUMBER(ekipage!Q:Q)=FALSE),0)),""),"")</f>
        <v/>
      </c>
      <c r="J70" t="str" cm="1">
        <f t="array" ref="J70">IF(K70="Visa klasser",IFERROR(INDEX(ekipage!C:C, MATCH(1, (ekipage!O:O = A70) * (ISNUMBER(ekipage!Q:Q) = FALSE), 0)), "Ej individuell"),"Visar ej klasser")</f>
        <v>Visar ej klasser</v>
      </c>
      <c r="K70" t="s">
        <v>134</v>
      </c>
    </row>
    <row r="71" spans="1:11" x14ac:dyDescent="0.45">
      <c r="I71" t="str" cm="1">
        <f t="array" ref="I71">IF(K71="Visa klasser",IFERROR(INDEX(ekipage!B:B,MATCH(1,(ekipage!O:O=A71)*(ISNUMBER(ekipage!Q:Q)=FALSE),0)),""),"")</f>
        <v/>
      </c>
      <c r="J71" t="str" cm="1">
        <f t="array" ref="J71">IF(K71="Visa klasser",IFERROR(INDEX(ekipage!C:C, MATCH(1, (ekipage!O:O = A71) * (ISNUMBER(ekipage!Q:Q) = FALSE), 0)), "Ej individuell"),"Visar ej klasser")</f>
        <v>Visar ej klasser</v>
      </c>
      <c r="K71" t="s">
        <v>134</v>
      </c>
    </row>
    <row r="72" spans="1:11" x14ac:dyDescent="0.45">
      <c r="I72" t="str" cm="1">
        <f t="array" ref="I72">IF(K72="Visa klasser",IFERROR(INDEX(ekipage!B:B,MATCH(1,(ekipage!O:O=A72)*(ISNUMBER(ekipage!Q:Q)=FALSE),0)),""),"")</f>
        <v/>
      </c>
      <c r="J72" t="str" cm="1">
        <f t="array" ref="J72">IF(K72="Visa klasser",IFERROR(INDEX(ekipage!C:C, MATCH(1, (ekipage!O:O = A72) * (ISNUMBER(ekipage!Q:Q) = FALSE), 0)), "Ej individuell"),"Visar ej klasser")</f>
        <v>Visar ej klasser</v>
      </c>
      <c r="K72" t="s">
        <v>134</v>
      </c>
    </row>
    <row r="73" spans="1:11" x14ac:dyDescent="0.45">
      <c r="I73" t="str" cm="1">
        <f t="array" ref="I73">IF(K73="Visa klasser",IFERROR(INDEX(ekipage!B:B,MATCH(1,(ekipage!O:O=A73)*(ISNUMBER(ekipage!Q:Q)=FALSE),0)),""),"")</f>
        <v/>
      </c>
      <c r="J73" t="str" cm="1">
        <f t="array" ref="J73">IF(K73="Visa klasser",IFERROR(INDEX(ekipage!C:C, MATCH(1, (ekipage!O:O = A73) * (ISNUMBER(ekipage!Q:Q) = FALSE), 0)), "Ej individuell"),"Visar ej klasser")</f>
        <v>Visar ej klasser</v>
      </c>
      <c r="K73" t="s">
        <v>134</v>
      </c>
    </row>
    <row r="74" spans="1:11" x14ac:dyDescent="0.45">
      <c r="I74" t="str" cm="1">
        <f t="array" ref="I74">IF(K74="Visa klasser",IFERROR(INDEX(ekipage!B:B,MATCH(1,(ekipage!O:O=A74)*(ISNUMBER(ekipage!Q:Q)=FALSE),0)),""),"")</f>
        <v/>
      </c>
      <c r="J74" t="str" cm="1">
        <f t="array" ref="J74">IF(K74="Visa klasser",IFERROR(INDEX(ekipage!C:C, MATCH(1, (ekipage!O:O = A74) * (ISNUMBER(ekipage!Q:Q) = FALSE), 0)), "Ej individuell"),"Visar ej klasser")</f>
        <v>Visar ej klasser</v>
      </c>
      <c r="K74" t="s">
        <v>134</v>
      </c>
    </row>
    <row r="75" spans="1:11" x14ac:dyDescent="0.45">
      <c r="I75" t="str" cm="1">
        <f t="array" ref="I75">IF(K75="Visa klasser",IFERROR(INDEX(ekipage!B:B,MATCH(1,(ekipage!O:O=A75)*(ISNUMBER(ekipage!Q:Q)=FALSE),0)),""),"")</f>
        <v/>
      </c>
      <c r="J75" t="str" cm="1">
        <f t="array" ref="J75">IF(K75="Visa klasser",IFERROR(INDEX(ekipage!C:C, MATCH(1, (ekipage!O:O = A75) * (ISNUMBER(ekipage!Q:Q) = FALSE), 0)), "Ej individuell"),"Visar ej klasser")</f>
        <v>Visar ej klasser</v>
      </c>
      <c r="K75" t="s">
        <v>134</v>
      </c>
    </row>
    <row r="76" spans="1:11" x14ac:dyDescent="0.45">
      <c r="I76" t="str" cm="1">
        <f t="array" ref="I76">IF(K76="Visa klasser",IFERROR(INDEX(ekipage!B:B,MATCH(1,(ekipage!O:O=A76)*(ISNUMBER(ekipage!Q:Q)=FALSE),0)),""),"")</f>
        <v/>
      </c>
      <c r="J76" t="str" cm="1">
        <f t="array" ref="J76">IF(K76="Visa klasser",IFERROR(INDEX(ekipage!C:C, MATCH(1, (ekipage!O:O = A76) * (ISNUMBER(ekipage!Q:Q) = FALSE), 0)), "Ej individuell"),"Visar ej klasser")</f>
        <v>Visar ej klasser</v>
      </c>
      <c r="K76" t="s">
        <v>134</v>
      </c>
    </row>
    <row r="77" spans="1:11" x14ac:dyDescent="0.45">
      <c r="I77" t="str" cm="1">
        <f t="array" ref="I77">IF(K77="Visa klasser",IFERROR(INDEX(ekipage!B:B,MATCH(1,(ekipage!O:O=A77)*(ISNUMBER(ekipage!Q:Q)=FALSE),0)),""),"")</f>
        <v/>
      </c>
      <c r="J77" t="str" cm="1">
        <f t="array" ref="J77">IF(K77="Visa klasser",IFERROR(INDEX(ekipage!C:C, MATCH(1, (ekipage!O:O = A77) * (ISNUMBER(ekipage!Q:Q) = FALSE), 0)), "Ej individuell"),"Visar ej klasser")</f>
        <v>Visar ej klasser</v>
      </c>
      <c r="K77" t="s">
        <v>134</v>
      </c>
    </row>
    <row r="78" spans="1:11" x14ac:dyDescent="0.45">
      <c r="I78" t="str" cm="1">
        <f t="array" ref="I78">IF(K78="Visa klasser",IFERROR(INDEX(ekipage!B:B,MATCH(1,(ekipage!O:O=A78)*(ISNUMBER(ekipage!Q:Q)=FALSE),0)),""),"")</f>
        <v/>
      </c>
      <c r="J78" t="str" cm="1">
        <f t="array" ref="J78">IF(K78="Visa klasser",IFERROR(INDEX(ekipage!C:C, MATCH(1, (ekipage!O:O = A78) * (ISNUMBER(ekipage!Q:Q) = FALSE), 0)), "Ej individuell"),"Visar ej klasser")</f>
        <v>Visar ej klasser</v>
      </c>
      <c r="K78" t="s">
        <v>134</v>
      </c>
    </row>
    <row r="79" spans="1:11" x14ac:dyDescent="0.45">
      <c r="I79" t="str" cm="1">
        <f t="array" ref="I79">IF(K79="Visa klasser",IFERROR(INDEX(ekipage!B:B,MATCH(1,(ekipage!O:O=A79)*(ISNUMBER(ekipage!Q:Q)=FALSE),0)),""),"")</f>
        <v/>
      </c>
      <c r="J79" t="str" cm="1">
        <f t="array" ref="J79">IF(K79="Visa klasser",IFERROR(INDEX(ekipage!C:C, MATCH(1, (ekipage!O:O = A79) * (ISNUMBER(ekipage!Q:Q) = FALSE), 0)), "Ej individuell"),"Visar ej klasser")</f>
        <v>Visar ej klasser</v>
      </c>
      <c r="K79" t="s">
        <v>134</v>
      </c>
    </row>
    <row r="80" spans="1:11" x14ac:dyDescent="0.45">
      <c r="I80" t="str" cm="1">
        <f t="array" ref="I80">IF(K80="Visa klasser",IFERROR(INDEX(ekipage!B:B,MATCH(1,(ekipage!O:O=A80)*(ISNUMBER(ekipage!Q:Q)=FALSE),0)),""),"")</f>
        <v/>
      </c>
      <c r="J80" t="str" cm="1">
        <f t="array" ref="J80">IF(K80="Visa klasser",IFERROR(INDEX(ekipage!C:C, MATCH(1, (ekipage!O:O = A80) * (ISNUMBER(ekipage!Q:Q) = FALSE), 0)), "Ej individuell"),"Visar ej klasser")</f>
        <v>Visar ej klasser</v>
      </c>
      <c r="K80" t="s">
        <v>134</v>
      </c>
    </row>
    <row r="81" spans="9:11" x14ac:dyDescent="0.45">
      <c r="I81" t="str" cm="1">
        <f t="array" ref="I81">IF(K81="Visa klasser",IFERROR(INDEX(ekipage!B:B,MATCH(1,(ekipage!O:O=A81)*(ISNUMBER(ekipage!Q:Q)=FALSE),0)),""),"")</f>
        <v/>
      </c>
      <c r="J81" t="str" cm="1">
        <f t="array" ref="J81">IF(K81="Visa klasser",IFERROR(INDEX(ekipage!C:C, MATCH(1, (ekipage!O:O = A81) * (ISNUMBER(ekipage!Q:Q) = FALSE), 0)), "Ej individuell"),"Visar ej klasser")</f>
        <v>Visar ej klasser</v>
      </c>
      <c r="K81" t="s">
        <v>134</v>
      </c>
    </row>
    <row r="82" spans="9:11" x14ac:dyDescent="0.45">
      <c r="I82" t="str" cm="1">
        <f t="array" ref="I82">IF(K82="Visa klasser",IFERROR(INDEX(ekipage!B:B,MATCH(1,(ekipage!O:O=A82)*(ISNUMBER(ekipage!Q:Q)=FALSE),0)),""),"")</f>
        <v/>
      </c>
      <c r="J82" t="str" cm="1">
        <f t="array" ref="J82">IF(K82="Visa klasser",IFERROR(INDEX(ekipage!C:C, MATCH(1, (ekipage!O:O = A82) * (ISNUMBER(ekipage!Q:Q) = FALSE), 0)), "Ej individuell"),"Visar ej klasser")</f>
        <v>Visar ej klasser</v>
      </c>
      <c r="K82" t="s">
        <v>134</v>
      </c>
    </row>
    <row r="83" spans="9:11" x14ac:dyDescent="0.45">
      <c r="I83" t="str" cm="1">
        <f t="array" ref="I83">IF(K83="Visa klasser",IFERROR(INDEX(ekipage!B:B,MATCH(1,(ekipage!O:O=A83)*(ISNUMBER(ekipage!Q:Q)=FALSE),0)),""),"")</f>
        <v/>
      </c>
      <c r="J83" t="str" cm="1">
        <f t="array" ref="J83">IF(K83="Visa klasser",IFERROR(INDEX(ekipage!C:C, MATCH(1, (ekipage!O:O = A83) * (ISNUMBER(ekipage!Q:Q) = FALSE), 0)), "Ej individuell"),"Visar ej klasser")</f>
        <v>Visar ej klasser</v>
      </c>
      <c r="K83" t="s">
        <v>134</v>
      </c>
    </row>
    <row r="84" spans="9:11" x14ac:dyDescent="0.45">
      <c r="I84" t="str" cm="1">
        <f t="array" ref="I84">IF(K84="Visa klasser",IFERROR(INDEX(ekipage!B:B,MATCH(1,(ekipage!O:O=A84)*(ISNUMBER(ekipage!Q:Q)=FALSE),0)),""),"")</f>
        <v/>
      </c>
      <c r="J84" t="str" cm="1">
        <f t="array" ref="J84">IF(K84="Visa klasser",IFERROR(INDEX(ekipage!C:C, MATCH(1, (ekipage!O:O = A84) * (ISNUMBER(ekipage!Q:Q) = FALSE), 0)), "Ej individuell"),"Visar ej klasser")</f>
        <v>Visar ej klasser</v>
      </c>
      <c r="K84" t="s">
        <v>134</v>
      </c>
    </row>
    <row r="85" spans="9:11" x14ac:dyDescent="0.45">
      <c r="I85" t="str" cm="1">
        <f t="array" ref="I85">IF(K85="Visa klasser",IFERROR(INDEX(ekipage!B:B,MATCH(1,(ekipage!O:O=A85)*(ISNUMBER(ekipage!Q:Q)=FALSE),0)),""),"")</f>
        <v/>
      </c>
      <c r="J85" t="str" cm="1">
        <f t="array" ref="J85">IF(K85="Visa klasser",IFERROR(INDEX(ekipage!C:C, MATCH(1, (ekipage!O:O = A85) * (ISNUMBER(ekipage!Q:Q) = FALSE), 0)), "Ej individuell"),"Visar ej klasser")</f>
        <v>Visar ej klasser</v>
      </c>
      <c r="K85" t="s">
        <v>134</v>
      </c>
    </row>
    <row r="86" spans="9:11" x14ac:dyDescent="0.45">
      <c r="I86" t="str" cm="1">
        <f t="array" ref="I86">IF(K86="Visa klasser",IFERROR(INDEX(ekipage!B:B,MATCH(1,(ekipage!O:O=A86)*(ISNUMBER(ekipage!Q:Q)=FALSE),0)),""),"")</f>
        <v/>
      </c>
      <c r="J86" t="str" cm="1">
        <f t="array" ref="J86">IF(K86="Visa klasser",IFERROR(INDEX(ekipage!C:C, MATCH(1, (ekipage!O:O = A86) * (ISNUMBER(ekipage!Q:Q) = FALSE), 0)), "Ej individuell"),"Visar ej klasser")</f>
        <v>Visar ej klasser</v>
      </c>
      <c r="K86" t="s">
        <v>134</v>
      </c>
    </row>
    <row r="87" spans="9:11" x14ac:dyDescent="0.45">
      <c r="I87" t="str" cm="1">
        <f t="array" ref="I87">IF(K87="Visa klasser",IFERROR(INDEX(ekipage!B:B,MATCH(1,(ekipage!O:O=A87)*(ISNUMBER(ekipage!Q:Q)=FALSE),0)),""),"")</f>
        <v/>
      </c>
      <c r="J87" t="str" cm="1">
        <f t="array" ref="J87">IF(K87="Visa klasser",IFERROR(INDEX(ekipage!C:C, MATCH(1, (ekipage!O:O = A87) * (ISNUMBER(ekipage!Q:Q) = FALSE), 0)), "Ej individuell"),"Visar ej klasser")</f>
        <v>Visar ej klasser</v>
      </c>
      <c r="K87" t="s">
        <v>134</v>
      </c>
    </row>
    <row r="88" spans="9:11" x14ac:dyDescent="0.45">
      <c r="I88" t="str" cm="1">
        <f t="array" ref="I88">IF(K88="Visa klasser",IFERROR(INDEX(ekipage!B:B,MATCH(1,(ekipage!O:O=A88)*(ISNUMBER(ekipage!Q:Q)=FALSE),0)),""),"")</f>
        <v/>
      </c>
      <c r="J88" t="str" cm="1">
        <f t="array" ref="J88">IF(K88="Visa klasser",IFERROR(INDEX(ekipage!C:C, MATCH(1, (ekipage!O:O = A88) * (ISNUMBER(ekipage!Q:Q) = FALSE), 0)), "Ej individuell"),"Visar ej klasser")</f>
        <v>Visar ej klasser</v>
      </c>
      <c r="K88" t="s">
        <v>134</v>
      </c>
    </row>
    <row r="89" spans="9:11" x14ac:dyDescent="0.45">
      <c r="I89" t="str" cm="1">
        <f t="array" ref="I89">IF(K89="Visa klasser",IFERROR(INDEX(ekipage!B:B,MATCH(1,(ekipage!O:O=A89)*(ISNUMBER(ekipage!Q:Q)=FALSE),0)),""),"")</f>
        <v/>
      </c>
      <c r="J89" t="str" cm="1">
        <f t="array" ref="J89">IF(K89="Visa klasser",IFERROR(INDEX(ekipage!C:C, MATCH(1, (ekipage!O:O = A89) * (ISNUMBER(ekipage!Q:Q) = FALSE), 0)), "Ej individuell"),"Visar ej klasser")</f>
        <v>Visar ej klasser</v>
      </c>
      <c r="K89" t="s">
        <v>134</v>
      </c>
    </row>
    <row r="90" spans="9:11" x14ac:dyDescent="0.45">
      <c r="I90" t="str" cm="1">
        <f t="array" ref="I90">IF(K90="Visa klasser",IFERROR(INDEX(ekipage!B:B,MATCH(1,(ekipage!O:O=A90)*(ISNUMBER(ekipage!Q:Q)=FALSE),0)),""),"")</f>
        <v/>
      </c>
      <c r="J90" t="str" cm="1">
        <f t="array" ref="J90">IF(K90="Visa klasser",IFERROR(INDEX(ekipage!C:C, MATCH(1, (ekipage!O:O = A90) * (ISNUMBER(ekipage!Q:Q) = FALSE), 0)), "Ej individuell"),"Visar ej klasser")</f>
        <v>Visar ej klasser</v>
      </c>
      <c r="K90" t="s">
        <v>134</v>
      </c>
    </row>
    <row r="91" spans="9:11" x14ac:dyDescent="0.45">
      <c r="I91" t="str" cm="1">
        <f t="array" ref="I91">IF(K91="Visa klasser",IFERROR(INDEX(ekipage!B:B,MATCH(1,(ekipage!O:O=A91)*(ISNUMBER(ekipage!Q:Q)=FALSE),0)),""),"")</f>
        <v/>
      </c>
      <c r="J91" t="str" cm="1">
        <f t="array" ref="J91">IF(K91="Visa klasser",IFERROR(INDEX(ekipage!C:C, MATCH(1, (ekipage!O:O = A91) * (ISNUMBER(ekipage!Q:Q) = FALSE), 0)), "Ej individuell"),"Visar ej klasser")</f>
        <v>Visar ej klasser</v>
      </c>
      <c r="K91" t="s">
        <v>134</v>
      </c>
    </row>
    <row r="92" spans="9:11" x14ac:dyDescent="0.45">
      <c r="I92" t="str" cm="1">
        <f t="array" ref="I92">IF(K92="Visa klasser",IFERROR(INDEX(ekipage!B:B,MATCH(1,(ekipage!O:O=A92)*(ISNUMBER(ekipage!Q:Q)=FALSE),0)),""),"")</f>
        <v/>
      </c>
      <c r="J92" t="str" cm="1">
        <f t="array" ref="J92">IF(K92="Visa klasser",IFERROR(INDEX(ekipage!C:C, MATCH(1, (ekipage!O:O = A92) * (ISNUMBER(ekipage!Q:Q) = FALSE), 0)), "Ej individuell"),"Visar ej klasser")</f>
        <v>Visar ej klasser</v>
      </c>
      <c r="K92" t="s">
        <v>134</v>
      </c>
    </row>
    <row r="93" spans="9:11" x14ac:dyDescent="0.45">
      <c r="I93" t="str" cm="1">
        <f t="array" ref="I93">IF(K93="Visa klasser",IFERROR(INDEX(ekipage!B:B,MATCH(1,(ekipage!O:O=A93)*(ISNUMBER(ekipage!Q:Q)=FALSE),0)),""),"")</f>
        <v/>
      </c>
      <c r="J93" t="str" cm="1">
        <f t="array" ref="J93">IF(K93="Visa klasser",IFERROR(INDEX(ekipage!C:C, MATCH(1, (ekipage!O:O = A93) * (ISNUMBER(ekipage!Q:Q) = FALSE), 0)), "Ej individuell"),"Visar ej klasser")</f>
        <v>Visar ej klasser</v>
      </c>
      <c r="K93" t="s">
        <v>134</v>
      </c>
    </row>
    <row r="94" spans="9:11" x14ac:dyDescent="0.45">
      <c r="I94" t="str" cm="1">
        <f t="array" ref="I94">IF(K94="Visa klasser",IFERROR(INDEX(ekipage!B:B,MATCH(1,(ekipage!O:O=A94)*(ISNUMBER(ekipage!Q:Q)=FALSE),0)),""),"")</f>
        <v/>
      </c>
      <c r="J94" t="str" cm="1">
        <f t="array" ref="J94">IF(K94="Visa klasser",IFERROR(INDEX(ekipage!C:C, MATCH(1, (ekipage!O:O = A94) * (ISNUMBER(ekipage!Q:Q) = FALSE), 0)), "Ej individuell"),"Visar ej klasser")</f>
        <v>Visar ej klasser</v>
      </c>
      <c r="K94" t="s">
        <v>134</v>
      </c>
    </row>
    <row r="95" spans="9:11" x14ac:dyDescent="0.45">
      <c r="I95" t="str" cm="1">
        <f t="array" ref="I95">IF(K95="Visa klasser",IFERROR(INDEX(ekipage!B:B,MATCH(1,(ekipage!O:O=A95)*(ISNUMBER(ekipage!Q:Q)=FALSE),0)),""),"")</f>
        <v/>
      </c>
      <c r="J95" t="str" cm="1">
        <f t="array" ref="J95">IF(K95="Visa klasser",IFERROR(INDEX(ekipage!C:C, MATCH(1, (ekipage!O:O = A95) * (ISNUMBER(ekipage!Q:Q) = FALSE), 0)), "Ej individuell"),"Visar ej klasser")</f>
        <v>Visar ej klasser</v>
      </c>
      <c r="K95" t="s">
        <v>134</v>
      </c>
    </row>
    <row r="96" spans="9:11" x14ac:dyDescent="0.45">
      <c r="I96" t="str" cm="1">
        <f t="array" ref="I96">IF(K96="Visa klasser",IFERROR(INDEX(ekipage!B:B,MATCH(1,(ekipage!O:O=A96)*(ISNUMBER(ekipage!Q:Q)=FALSE),0)),""),"")</f>
        <v/>
      </c>
      <c r="J96" t="str" cm="1">
        <f t="array" ref="J96">IF(K96="Visa klasser",IFERROR(INDEX(ekipage!C:C, MATCH(1, (ekipage!O:O = A96) * (ISNUMBER(ekipage!Q:Q) = FALSE), 0)), "Ej individuell"),"Visar ej klasser")</f>
        <v>Visar ej klasser</v>
      </c>
      <c r="K96" t="s">
        <v>134</v>
      </c>
    </row>
    <row r="97" spans="9:11" x14ac:dyDescent="0.45">
      <c r="I97" t="str" cm="1">
        <f t="array" ref="I97">IF(K97="Visa klasser",IFERROR(INDEX(ekipage!B:B,MATCH(1,(ekipage!O:O=A97)*(ISNUMBER(ekipage!Q:Q)=FALSE),0)),""),"")</f>
        <v/>
      </c>
      <c r="J97" t="str" cm="1">
        <f t="array" ref="J97">IF(K97="Visa klasser",IFERROR(INDEX(ekipage!C:C, MATCH(1, (ekipage!O:O = A97) * (ISNUMBER(ekipage!Q:Q) = FALSE), 0)), "Ej individuell"),"Visar ej klasser")</f>
        <v>Visar ej klasser</v>
      </c>
      <c r="K97" t="s">
        <v>134</v>
      </c>
    </row>
    <row r="98" spans="9:11" x14ac:dyDescent="0.45">
      <c r="I98" t="str" cm="1">
        <f t="array" ref="I98">IF(K98="Visa klasser",IFERROR(INDEX(ekipage!B:B,MATCH(1,(ekipage!O:O=A98)*(ISNUMBER(ekipage!Q:Q)=FALSE),0)),""),"")</f>
        <v/>
      </c>
      <c r="J98" t="str" cm="1">
        <f t="array" ref="J98">IF(K98="Visa klasser",IFERROR(INDEX(ekipage!C:C, MATCH(1, (ekipage!O:O = A98) * (ISNUMBER(ekipage!Q:Q) = FALSE), 0)), "Ej individuell"),"Visar ej klasser")</f>
        <v>Visar ej klasser</v>
      </c>
      <c r="K98" t="s">
        <v>134</v>
      </c>
    </row>
    <row r="99" spans="9:11" x14ac:dyDescent="0.45">
      <c r="I99" t="str" cm="1">
        <f t="array" ref="I99">IF(K99="Visa klasser",IFERROR(INDEX(ekipage!B:B,MATCH(1,(ekipage!O:O=A99)*(ISNUMBER(ekipage!Q:Q)=FALSE),0)),""),"")</f>
        <v/>
      </c>
      <c r="J99" t="str" cm="1">
        <f t="array" ref="J99">IF(K99="Visa klasser",IFERROR(INDEX(ekipage!C:C, MATCH(1, (ekipage!O:O = A99) * (ISNUMBER(ekipage!Q:Q) = FALSE), 0)), "Ej individuell"),"Visar ej klasser")</f>
        <v>Visar ej klasser</v>
      </c>
      <c r="K99" t="s">
        <v>134</v>
      </c>
    </row>
    <row r="100" spans="9:11" x14ac:dyDescent="0.45">
      <c r="I100" t="str" cm="1">
        <f t="array" ref="I100">IF(K100="Visa klasser",IFERROR(INDEX(ekipage!B:B,MATCH(1,(ekipage!O:O=A100)*(ISNUMBER(ekipage!Q:Q)=FALSE),0)),""),"")</f>
        <v/>
      </c>
      <c r="J100" t="str" cm="1">
        <f t="array" ref="J100">IF(K100="Visa klasser",IFERROR(INDEX(ekipage!C:C, MATCH(1, (ekipage!O:O = A100) * (ISNUMBER(ekipage!Q:Q) = FALSE), 0)), "Ej individuell"),"Visar ej klasser")</f>
        <v>Visar ej klasser</v>
      </c>
      <c r="K100" t="s">
        <v>134</v>
      </c>
    </row>
    <row r="101" spans="9:11" x14ac:dyDescent="0.45">
      <c r="I101" t="str" cm="1">
        <f t="array" ref="I101">IF(K101="Visa klasser",IFERROR(INDEX(ekipage!B:B,MATCH(1,(ekipage!O:O=A101)*(ISNUMBER(ekipage!Q:Q)=FALSE),0)),""),"")</f>
        <v/>
      </c>
      <c r="J101" t="str" cm="1">
        <f t="array" ref="J101">IF(K101="Visa klasser",IFERROR(INDEX(ekipage!C:C, MATCH(1, (ekipage!O:O = A101) * (ISNUMBER(ekipage!Q:Q) = FALSE), 0)), "Ej individuell"),"Visar ej klasser")</f>
        <v>Visar ej klasser</v>
      </c>
      <c r="K101" t="s">
        <v>134</v>
      </c>
    </row>
    <row r="102" spans="9:11" x14ac:dyDescent="0.45">
      <c r="I102" t="str" cm="1">
        <f t="array" ref="I102">IF(K102="Visa klasser",IFERROR(INDEX(ekipage!B:B,MATCH(1,(ekipage!O:O=A102)*(ISNUMBER(ekipage!Q:Q)=FALSE),0)),""),"")</f>
        <v/>
      </c>
      <c r="J102" t="str" cm="1">
        <f t="array" ref="J102">IF(K102="Visa klasser",IFERROR(INDEX(ekipage!C:C, MATCH(1, (ekipage!O:O = A102) * (ISNUMBER(ekipage!Q:Q) = FALSE), 0)), "Ej individuell"),"Visar ej klasser")</f>
        <v>Visar ej klasser</v>
      </c>
      <c r="K102" t="s">
        <v>134</v>
      </c>
    </row>
    <row r="103" spans="9:11" x14ac:dyDescent="0.45">
      <c r="I103" t="str" cm="1">
        <f t="array" ref="I103">IF(K103="Visa klasser",IFERROR(INDEX(ekipage!B:B,MATCH(1,(ekipage!O:O=A103)*(ISNUMBER(ekipage!Q:Q)=FALSE),0)),""),"")</f>
        <v/>
      </c>
      <c r="J103" t="str" cm="1">
        <f t="array" ref="J103">IF(K103="Visa klasser",IFERROR(INDEX(ekipage!C:C, MATCH(1, (ekipage!O:O = A103) * (ISNUMBER(ekipage!Q:Q) = FALSE), 0)), "Ej individuell"),"Visar ej klasser")</f>
        <v>Visar ej klasser</v>
      </c>
      <c r="K103" t="s">
        <v>134</v>
      </c>
    </row>
    <row r="104" spans="9:11" x14ac:dyDescent="0.45">
      <c r="I104" t="str" cm="1">
        <f t="array" ref="I104">IF(K104="Visa klasser",IFERROR(INDEX(ekipage!B:B,MATCH(1,(ekipage!O:O=A104)*(ISNUMBER(ekipage!Q:Q)=FALSE),0)),""),"")</f>
        <v/>
      </c>
      <c r="J104" t="str" cm="1">
        <f t="array" ref="J104">IF(K104="Visa klasser",IFERROR(INDEX(ekipage!C:C, MATCH(1, (ekipage!O:O = A104) * (ISNUMBER(ekipage!Q:Q) = FALSE), 0)), "Ej individuell"),"Visar ej klasser")</f>
        <v>Visar ej klasser</v>
      </c>
      <c r="K104" t="s">
        <v>134</v>
      </c>
    </row>
    <row r="105" spans="9:11" x14ac:dyDescent="0.45">
      <c r="I105" t="str" cm="1">
        <f t="array" ref="I105">IF(K105="Visa klasser",IFERROR(INDEX(ekipage!B:B,MATCH(1,(ekipage!O:O=A105)*(ISNUMBER(ekipage!Q:Q)=FALSE),0)),""),"")</f>
        <v/>
      </c>
      <c r="J105" t="str" cm="1">
        <f t="array" ref="J105">IF(K105="Visa klasser",IFERROR(INDEX(ekipage!C:C, MATCH(1, (ekipage!O:O = A105) * (ISNUMBER(ekipage!Q:Q) = FALSE), 0)), "Ej individuell"),"Visar ej klasser")</f>
        <v>Visar ej klasser</v>
      </c>
      <c r="K105" t="s">
        <v>134</v>
      </c>
    </row>
    <row r="106" spans="9:11" x14ac:dyDescent="0.45">
      <c r="I106" t="str" cm="1">
        <f t="array" ref="I106">IF(K106="Visa klasser",IFERROR(INDEX(ekipage!B:B,MATCH(1,(ekipage!O:O=A106)*(ISNUMBER(ekipage!Q:Q)=FALSE),0)),""),"")</f>
        <v/>
      </c>
      <c r="J106" t="str" cm="1">
        <f t="array" ref="J106">IF(K106="Visa klasser",IFERROR(INDEX(ekipage!C:C, MATCH(1, (ekipage!O:O = A106) * (ISNUMBER(ekipage!Q:Q) = FALSE), 0)), "Ej individuell"),"Visar ej klasser")</f>
        <v>Visar ej klasser</v>
      </c>
      <c r="K106" t="s">
        <v>134</v>
      </c>
    </row>
    <row r="107" spans="9:11" x14ac:dyDescent="0.45">
      <c r="I107" t="str" cm="1">
        <f t="array" ref="I107">IF(K107="Visa klasser",IFERROR(INDEX(ekipage!B:B,MATCH(1,(ekipage!O:O=A107)*(ISNUMBER(ekipage!Q:Q)=FALSE),0)),""),"")</f>
        <v/>
      </c>
      <c r="J107" t="str" cm="1">
        <f t="array" ref="J107">IF(K107="Visa klasser",IFERROR(INDEX(ekipage!C:C, MATCH(1, (ekipage!O:O = A107) * (ISNUMBER(ekipage!Q:Q) = FALSE), 0)), "Ej individuell"),"Visar ej klasser")</f>
        <v>Visar ej klasser</v>
      </c>
      <c r="K107" t="s">
        <v>134</v>
      </c>
    </row>
    <row r="108" spans="9:11" x14ac:dyDescent="0.45">
      <c r="I108" t="str" cm="1">
        <f t="array" ref="I108">IF(K108="Visa klasser",IFERROR(INDEX(ekipage!B:B,MATCH(1,(ekipage!O:O=A108)*(ISNUMBER(ekipage!Q:Q)=FALSE),0)),""),"")</f>
        <v/>
      </c>
      <c r="J108" t="str" cm="1">
        <f t="array" ref="J108">IF(K108="Visa klasser",IFERROR(INDEX(ekipage!C:C, MATCH(1, (ekipage!O:O = A108) * (ISNUMBER(ekipage!Q:Q) = FALSE), 0)), "Ej individuell"),"Visar ej klasser")</f>
        <v>Visar ej klasser</v>
      </c>
      <c r="K108" t="s">
        <v>134</v>
      </c>
    </row>
    <row r="109" spans="9:11" x14ac:dyDescent="0.45">
      <c r="I109" t="str" cm="1">
        <f t="array" ref="I109">IF(K109="Visa klasser",IFERROR(INDEX(ekipage!B:B,MATCH(1,(ekipage!O:O=A109)*(ISNUMBER(ekipage!Q:Q)=FALSE),0)),""),"")</f>
        <v/>
      </c>
      <c r="J109" t="str" cm="1">
        <f t="array" ref="J109">IF(K109="Visa klasser",IFERROR(INDEX(ekipage!C:C, MATCH(1, (ekipage!O:O = A109) * (ISNUMBER(ekipage!Q:Q) = FALSE), 0)), "Ej individuell"),"Visar ej klasser")</f>
        <v>Visar ej klasser</v>
      </c>
      <c r="K109" t="s">
        <v>134</v>
      </c>
    </row>
    <row r="110" spans="9:11" x14ac:dyDescent="0.45">
      <c r="I110" t="str" cm="1">
        <f t="array" ref="I110">IF(K110="Visa klasser",IFERROR(INDEX(ekipage!B:B,MATCH(1,(ekipage!O:O=A110)*(ISNUMBER(ekipage!Q:Q)=FALSE),0)),""),"")</f>
        <v/>
      </c>
      <c r="J110" t="str" cm="1">
        <f t="array" ref="J110">IF(K110="Visa klasser",IFERROR(INDEX(ekipage!C:C, MATCH(1, (ekipage!O:O = A110) * (ISNUMBER(ekipage!Q:Q) = FALSE), 0)), "Ej individuell"),"Visar ej klasser")</f>
        <v>Visar ej klasser</v>
      </c>
      <c r="K110" t="s">
        <v>134</v>
      </c>
    </row>
    <row r="111" spans="9:11" x14ac:dyDescent="0.45">
      <c r="I111" t="str" cm="1">
        <f t="array" ref="I111">IF(K111="Visa klasser",IFERROR(INDEX(ekipage!B:B,MATCH(1,(ekipage!O:O=A111)*(ISNUMBER(ekipage!Q:Q)=FALSE),0)),""),"")</f>
        <v/>
      </c>
      <c r="J111" t="str" cm="1">
        <f t="array" ref="J111">IF(K111="Visa klasser",IFERROR(INDEX(ekipage!C:C, MATCH(1, (ekipage!O:O = A111) * (ISNUMBER(ekipage!Q:Q) = FALSE), 0)), "Ej individuell"),"Visar ej klasser")</f>
        <v>Visar ej klasser</v>
      </c>
      <c r="K111" t="s">
        <v>134</v>
      </c>
    </row>
    <row r="112" spans="9:11" x14ac:dyDescent="0.45">
      <c r="I112" t="str" cm="1">
        <f t="array" ref="I112">IF(K112="Visa klasser",IFERROR(INDEX(ekipage!B:B,MATCH(1,(ekipage!O:O=A112)*(ISNUMBER(ekipage!Q:Q)=FALSE),0)),""),"")</f>
        <v/>
      </c>
      <c r="J112" t="str" cm="1">
        <f t="array" ref="J112">IF(K112="Visa klasser",IFERROR(INDEX(ekipage!C:C, MATCH(1, (ekipage!O:O = A112) * (ISNUMBER(ekipage!Q:Q) = FALSE), 0)), "Ej individuell"),"Visar ej klasser")</f>
        <v>Visar ej klasser</v>
      </c>
      <c r="K112" t="s">
        <v>134</v>
      </c>
    </row>
    <row r="113" spans="9:11" x14ac:dyDescent="0.45">
      <c r="I113" t="str" cm="1">
        <f t="array" ref="I113">IF(K113="Visa klasser",IFERROR(INDEX(ekipage!B:B,MATCH(1,(ekipage!O:O=A113)*(ISNUMBER(ekipage!Q:Q)=FALSE),0)),""),"")</f>
        <v/>
      </c>
      <c r="J113" t="str" cm="1">
        <f t="array" ref="J113">IF(K113="Visa klasser",IFERROR(INDEX(ekipage!C:C, MATCH(1, (ekipage!O:O = A113) * (ISNUMBER(ekipage!Q:Q) = FALSE), 0)), "Ej individuell"),"Visar ej klasser")</f>
        <v>Visar ej klasser</v>
      </c>
      <c r="K113" t="s">
        <v>134</v>
      </c>
    </row>
    <row r="114" spans="9:11" x14ac:dyDescent="0.45">
      <c r="I114" t="str" cm="1">
        <f t="array" ref="I114">IF(K114="Visa klasser",IFERROR(INDEX(ekipage!B:B,MATCH(1,(ekipage!O:O=A114)*(ISNUMBER(ekipage!Q:Q)=FALSE),0)),""),"")</f>
        <v/>
      </c>
      <c r="J114" t="str" cm="1">
        <f t="array" ref="J114">IF(K114="Visa klasser",IFERROR(INDEX(ekipage!C:C, MATCH(1, (ekipage!O:O = A114) * (ISNUMBER(ekipage!Q:Q) = FALSE), 0)), "Ej individuell"),"Visar ej klasser")</f>
        <v>Visar ej klasser</v>
      </c>
      <c r="K114" t="s">
        <v>134</v>
      </c>
    </row>
    <row r="115" spans="9:11" x14ac:dyDescent="0.45">
      <c r="I115" t="str" cm="1">
        <f t="array" ref="I115">IF(K115="Visa klasser",IFERROR(INDEX(ekipage!B:B,MATCH(1,(ekipage!O:O=A115)*(ISNUMBER(ekipage!Q:Q)=FALSE),0)),""),"")</f>
        <v/>
      </c>
      <c r="J115" t="str" cm="1">
        <f t="array" ref="J115">IF(K115="Visa klasser",IFERROR(INDEX(ekipage!C:C, MATCH(1, (ekipage!O:O = A115) * (ISNUMBER(ekipage!Q:Q) = FALSE), 0)), "Ej individuell"),"Visar ej klasser")</f>
        <v>Visar ej klasser</v>
      </c>
      <c r="K115" t="s">
        <v>134</v>
      </c>
    </row>
    <row r="116" spans="9:11" x14ac:dyDescent="0.45">
      <c r="I116" t="str" cm="1">
        <f t="array" ref="I116">IF(K116="Visa klasser",IFERROR(INDEX(ekipage!B:B,MATCH(1,(ekipage!O:O=A116)*(ISNUMBER(ekipage!Q:Q)=FALSE),0)),""),"")</f>
        <v/>
      </c>
      <c r="J116" t="str" cm="1">
        <f t="array" ref="J116">IF(K116="Visa klasser",IFERROR(INDEX(ekipage!C:C, MATCH(1, (ekipage!O:O = A116) * (ISNUMBER(ekipage!Q:Q) = FALSE), 0)), "Ej individuell"),"Visar ej klasser")</f>
        <v>Visar ej klasser</v>
      </c>
      <c r="K116" t="s">
        <v>134</v>
      </c>
    </row>
    <row r="117" spans="9:11" x14ac:dyDescent="0.45">
      <c r="I117" t="str" cm="1">
        <f t="array" ref="I117">IF(K117="Visa klasser",IFERROR(INDEX(ekipage!B:B,MATCH(1,(ekipage!O:O=A117)*(ISNUMBER(ekipage!Q:Q)=FALSE),0)),""),"")</f>
        <v/>
      </c>
      <c r="J117" t="str" cm="1">
        <f t="array" ref="J117">IF(K117="Visa klasser",IFERROR(INDEX(ekipage!C:C, MATCH(1, (ekipage!O:O = A117) * (ISNUMBER(ekipage!Q:Q) = FALSE), 0)), "Ej individuell"),"Visar ej klasser")</f>
        <v>Visar ej klasser</v>
      </c>
      <c r="K117" t="s">
        <v>134</v>
      </c>
    </row>
    <row r="118" spans="9:11" x14ac:dyDescent="0.45">
      <c r="I118" t="str" cm="1">
        <f t="array" ref="I118">IF(K118="Visa klasser",IFERROR(INDEX(ekipage!B:B,MATCH(1,(ekipage!O:O=A118)*(ISNUMBER(ekipage!Q:Q)=FALSE),0)),""),"")</f>
        <v/>
      </c>
      <c r="J118" t="str" cm="1">
        <f t="array" ref="J118">IF(K118="Visa klasser",IFERROR(INDEX(ekipage!C:C, MATCH(1, (ekipage!O:O = A118) * (ISNUMBER(ekipage!Q:Q) = FALSE), 0)), "Ej individuell"),"Visar ej klasser")</f>
        <v>Visar ej klasser</v>
      </c>
      <c r="K118" t="s">
        <v>134</v>
      </c>
    </row>
    <row r="119" spans="9:11" x14ac:dyDescent="0.45">
      <c r="I119" t="str" cm="1">
        <f t="array" ref="I119">IF(K119="Visa klasser",IFERROR(INDEX(ekipage!B:B,MATCH(1,(ekipage!O:O=A119)*(ISNUMBER(ekipage!Q:Q)=FALSE),0)),""),"")</f>
        <v/>
      </c>
      <c r="J119" t="str" cm="1">
        <f t="array" ref="J119">IF(K119="Visa klasser",IFERROR(INDEX(ekipage!C:C, MATCH(1, (ekipage!O:O = A119) * (ISNUMBER(ekipage!Q:Q) = FALSE), 0)), "Ej individuell"),"Visar ej klasser")</f>
        <v>Visar ej klasser</v>
      </c>
      <c r="K119" t="s">
        <v>134</v>
      </c>
    </row>
    <row r="120" spans="9:11" x14ac:dyDescent="0.45">
      <c r="I120" t="str" cm="1">
        <f t="array" ref="I120">IF(K120="Visa klasser",IFERROR(INDEX(ekipage!B:B,MATCH(1,(ekipage!O:O=A120)*(ISNUMBER(ekipage!Q:Q)=FALSE),0)),""),"")</f>
        <v/>
      </c>
      <c r="J120" t="str" cm="1">
        <f t="array" ref="J120">IF(K120="Visa klasser",IFERROR(INDEX(ekipage!C:C, MATCH(1, (ekipage!O:O = A120) * (ISNUMBER(ekipage!Q:Q) = FALSE), 0)), "Ej individuell"),"Visar ej klasser")</f>
        <v>Visar ej klasser</v>
      </c>
      <c r="K120" t="s">
        <v>134</v>
      </c>
    </row>
    <row r="121" spans="9:11" x14ac:dyDescent="0.45">
      <c r="I121" t="str" cm="1">
        <f t="array" ref="I121">IF(K121="Visa klasser",IFERROR(INDEX(ekipage!B:B,MATCH(1,(ekipage!O:O=A121)*(ISNUMBER(ekipage!Q:Q)=FALSE),0)),""),"")</f>
        <v/>
      </c>
      <c r="J121" t="str" cm="1">
        <f t="array" ref="J121">IF(K121="Visa klasser",IFERROR(INDEX(ekipage!C:C, MATCH(1, (ekipage!O:O = A121) * (ISNUMBER(ekipage!Q:Q) = FALSE), 0)), "Ej individuell"),"Visar ej klasser")</f>
        <v>Visar ej klasser</v>
      </c>
      <c r="K121" t="s">
        <v>134</v>
      </c>
    </row>
    <row r="122" spans="9:11" x14ac:dyDescent="0.45">
      <c r="I122" t="str" cm="1">
        <f t="array" ref="I122">IF(K122="Visa klasser",IFERROR(INDEX(ekipage!B:B,MATCH(1,(ekipage!O:O=A122)*(ISNUMBER(ekipage!Q:Q)=FALSE),0)),""),"")</f>
        <v/>
      </c>
      <c r="J122" t="str" cm="1">
        <f t="array" ref="J122">IF(K122="Visa klasser",IFERROR(INDEX(ekipage!C:C, MATCH(1, (ekipage!O:O = A122) * (ISNUMBER(ekipage!Q:Q) = FALSE), 0)), "Ej individuell"),"Visar ej klasser")</f>
        <v>Visar ej klasser</v>
      </c>
      <c r="K122" t="s">
        <v>134</v>
      </c>
    </row>
    <row r="123" spans="9:11" x14ac:dyDescent="0.45">
      <c r="I123" t="str" cm="1">
        <f t="array" ref="I123">IF(K123="Visa klasser",IFERROR(INDEX(ekipage!B:B,MATCH(1,(ekipage!O:O=A123)*(ISNUMBER(ekipage!Q:Q)=FALSE),0)),""),"")</f>
        <v/>
      </c>
      <c r="J123" t="str" cm="1">
        <f t="array" ref="J123">IF(K123="Visa klasser",IFERROR(INDEX(ekipage!C:C, MATCH(1, (ekipage!O:O = A123) * (ISNUMBER(ekipage!Q:Q) = FALSE), 0)), "Ej individuell"),"Visar ej klasser")</f>
        <v>Visar ej klasser</v>
      </c>
      <c r="K123" t="s">
        <v>134</v>
      </c>
    </row>
    <row r="124" spans="9:11" x14ac:dyDescent="0.45">
      <c r="I124" t="str" cm="1">
        <f t="array" ref="I124">IF(K124="Visa klasser",IFERROR(INDEX(ekipage!B:B,MATCH(1,(ekipage!O:O=A124)*(ISNUMBER(ekipage!Q:Q)=FALSE),0)),""),"")</f>
        <v/>
      </c>
      <c r="J124" t="str" cm="1">
        <f t="array" ref="J124">IF(K124="Visa klasser",IFERROR(INDEX(ekipage!C:C, MATCH(1, (ekipage!O:O = A124) * (ISNUMBER(ekipage!Q:Q) = FALSE), 0)), "Ej individuell"),"Visar ej klasser")</f>
        <v>Visar ej klasser</v>
      </c>
      <c r="K124" t="s">
        <v>134</v>
      </c>
    </row>
    <row r="125" spans="9:11" x14ac:dyDescent="0.45">
      <c r="J125" t="str" cm="1">
        <f t="array" ref="J125">IF(K125="Visa klasser",IFERROR(INDEX(ekipage!C:C, MATCH(1, (ekipage!O:O = A125) * (ISNUMBER(ekipage!Q:Q) = FALSE), 0)), "Ej individuell"),"Visar ej klasser")</f>
        <v>Visar ej klasser</v>
      </c>
      <c r="K125" t="s">
        <v>134</v>
      </c>
    </row>
    <row r="126" spans="9:11" x14ac:dyDescent="0.45">
      <c r="J126" t="str" cm="1">
        <f t="array" ref="J126">IF(K126="Visa klasser",IFERROR(INDEX(ekipage!C:C, MATCH(1, (ekipage!O:O = A126) * (ISNUMBER(ekipage!Q:Q) = FALSE), 0)), "Ej individuell"),"Visar ej klasser")</f>
        <v>Visar ej klasser</v>
      </c>
      <c r="K126" t="s">
        <v>134</v>
      </c>
    </row>
    <row r="127" spans="9:11" x14ac:dyDescent="0.45">
      <c r="J127" t="str" cm="1">
        <f t="array" ref="J127">IF(K127="Visa klasser",IFERROR(INDEX(ekipage!C:C, MATCH(1, (ekipage!O:O = A127) * (ISNUMBER(ekipage!Q:Q) = FALSE), 0)), "Ej individuell"),"Visar ej klasser")</f>
        <v>Visar ej klasser</v>
      </c>
      <c r="K127" t="s">
        <v>134</v>
      </c>
    </row>
    <row r="128" spans="9:11" x14ac:dyDescent="0.45">
      <c r="J128" t="str" cm="1">
        <f t="array" ref="J128">IF(K128="Visa klasser",IFERROR(INDEX(ekipage!C:C, MATCH(1, (ekipage!O:O = A128) * (ISNUMBER(ekipage!Q:Q) = FALSE), 0)), "Ej individuell"),"Visar ej klasser")</f>
        <v>Visar ej klasser</v>
      </c>
      <c r="K128" t="s">
        <v>134</v>
      </c>
    </row>
    <row r="129" spans="10:11" x14ac:dyDescent="0.45">
      <c r="J129" t="str" cm="1">
        <f t="array" ref="J129">IF(K129="Visa klasser",IFERROR(INDEX(ekipage!C:C, MATCH(1, (ekipage!O:O = A129) * (ISNUMBER(ekipage!Q:Q) = FALSE), 0)), "Ej individuell"),"Visar ej klasser")</f>
        <v>Visar ej klasser</v>
      </c>
      <c r="K129" t="s">
        <v>134</v>
      </c>
    </row>
    <row r="130" spans="10:11" x14ac:dyDescent="0.45">
      <c r="J130" t="str" cm="1">
        <f t="array" ref="J130">IF(K130="Visa klasser",IFERROR(INDEX(ekipage!C:C, MATCH(1, (ekipage!O:O = A130) * (ISNUMBER(ekipage!Q:Q) = FALSE), 0)), "Ej individuell"),"Visar ej klasser")</f>
        <v>Visar ej klasser</v>
      </c>
      <c r="K130" t="s">
        <v>134</v>
      </c>
    </row>
    <row r="131" spans="10:11" x14ac:dyDescent="0.45">
      <c r="J131" t="str" cm="1">
        <f t="array" ref="J131">IF(K131="Visa klasser",IFERROR(INDEX(ekipage!C:C, MATCH(1, (ekipage!O:O = A131) * (ISNUMBER(ekipage!Q:Q) = FALSE), 0)), "Ej individuell"),"Visar ej klasser")</f>
        <v>Visar ej klasser</v>
      </c>
      <c r="K131" t="s">
        <v>134</v>
      </c>
    </row>
    <row r="132" spans="10:11" x14ac:dyDescent="0.45">
      <c r="J132" t="str" cm="1">
        <f t="array" ref="J132">IF(K132="Visa klasser",IFERROR(INDEX(ekipage!C:C, MATCH(1, (ekipage!O:O = A132) * (ISNUMBER(ekipage!Q:Q) = FALSE), 0)), "Ej individuell"),"Visar ej klasser")</f>
        <v>Visar ej klasser</v>
      </c>
    </row>
    <row r="133" spans="10:11" x14ac:dyDescent="0.45">
      <c r="J133" t="str" cm="1">
        <f t="array" ref="J133">IF(K133="Visa klasser",IFERROR(INDEX(ekipage!C:C, MATCH(1, (ekipage!O:O = A133) * (ISNUMBER(ekipage!Q:Q) = FALSE), 0)), "Ej individuell"),"Visar ej klasser")</f>
        <v>Visar ej klasser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8</vt:i4>
      </vt:variant>
    </vt:vector>
  </HeadingPairs>
  <TitlesOfParts>
    <vt:vector size="8" baseType="lpstr">
      <vt:lpstr>startlisteklasser</vt:lpstr>
      <vt:lpstr>ekipage</vt:lpstr>
      <vt:lpstr>klasser</vt:lpstr>
      <vt:lpstr>linförare</vt:lpstr>
      <vt:lpstr>reservhästar</vt:lpstr>
      <vt:lpstr>hästar</vt:lpstr>
      <vt:lpstr>klubbar</vt:lpstr>
      <vt:lpstr>voltigörer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Lundström</dc:creator>
  <cp:lastModifiedBy>Magnus Sandberg</cp:lastModifiedBy>
  <dcterms:created xsi:type="dcterms:W3CDTF">2020-09-22T21:54:55Z</dcterms:created>
  <dcterms:modified xsi:type="dcterms:W3CDTF">2025-09-28T16:06:53Z</dcterms:modified>
</cp:coreProperties>
</file>