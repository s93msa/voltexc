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305" yWindow="-15" windowWidth="4845" windowHeight="7470" activeTab="4"/>
  </bookViews>
  <sheets>
    <sheet name="Information" sheetId="33" r:id="rId1"/>
    <sheet name="Skritt mellan grund" sheetId="28" r:id="rId2"/>
    <sheet name="Skritt jrlag grund " sheetId="29" r:id="rId3"/>
    <sheet name="Skritt srlag grund" sheetId="30" r:id="rId4"/>
    <sheet name="Skritt lagkür" sheetId="32" r:id="rId5"/>
    <sheet name="Blad1" sheetId="26" r:id="rId6"/>
  </sheets>
  <calcPr calcId="125725"/>
</workbook>
</file>

<file path=xl/calcChain.xml><?xml version="1.0" encoding="utf-8"?>
<calcChain xmlns="http://schemas.openxmlformats.org/spreadsheetml/2006/main">
  <c r="L33" i="32"/>
  <c r="L31"/>
  <c r="L32"/>
  <c r="L30"/>
  <c r="L29"/>
  <c r="L19"/>
  <c r="L18"/>
  <c r="L15"/>
  <c r="L21" s="1"/>
  <c r="I33" s="1"/>
  <c r="L34" l="1"/>
  <c r="L35" s="1"/>
  <c r="K21" i="30" l="1"/>
  <c r="K20"/>
  <c r="K19"/>
  <c r="K18"/>
  <c r="K17"/>
  <c r="K16"/>
  <c r="K15"/>
  <c r="K22" s="1"/>
  <c r="K23" s="1"/>
  <c r="K25" s="1"/>
  <c r="K32"/>
  <c r="K31"/>
  <c r="K28"/>
  <c r="K21" i="29"/>
  <c r="K20"/>
  <c r="K19"/>
  <c r="K18"/>
  <c r="K17"/>
  <c r="K16"/>
  <c r="K15"/>
  <c r="K32"/>
  <c r="K31"/>
  <c r="K28"/>
  <c r="K34" s="1"/>
  <c r="K20" i="28"/>
  <c r="K19"/>
  <c r="K18"/>
  <c r="K17"/>
  <c r="K16"/>
  <c r="K15"/>
  <c r="K21" s="1"/>
  <c r="K22" s="1"/>
  <c r="K26" s="1"/>
  <c r="K33"/>
  <c r="K32"/>
  <c r="K29"/>
  <c r="K34" i="30" l="1"/>
  <c r="K35" s="1"/>
  <c r="K36" s="1"/>
  <c r="K22" i="29"/>
  <c r="K23" s="1"/>
  <c r="K25" s="1"/>
  <c r="K35" s="1"/>
  <c r="K36" s="1"/>
  <c r="K37" i="28"/>
  <c r="K38" s="1"/>
</calcChain>
</file>

<file path=xl/sharedStrings.xml><?xml version="1.0" encoding="utf-8"?>
<sst xmlns="http://schemas.openxmlformats.org/spreadsheetml/2006/main" count="236" uniqueCount="96">
  <si>
    <t>1)</t>
  </si>
  <si>
    <t>2)</t>
  </si>
  <si>
    <t>3)</t>
  </si>
  <si>
    <t>4)</t>
  </si>
  <si>
    <t>5)</t>
  </si>
  <si>
    <t>6)</t>
  </si>
  <si>
    <t>Nation:</t>
  </si>
  <si>
    <t>Hästpoäng</t>
  </si>
  <si>
    <t>Moment</t>
  </si>
  <si>
    <t>Datum:</t>
  </si>
  <si>
    <t>Tävlingsplats:</t>
  </si>
  <si>
    <t>Lag:</t>
  </si>
  <si>
    <t>Häst:</t>
  </si>
  <si>
    <t>Voltigör:</t>
  </si>
  <si>
    <t>Rytm</t>
  </si>
  <si>
    <t>Gångart</t>
  </si>
  <si>
    <t>Kontakt</t>
  </si>
  <si>
    <t>Framåtbjudning</t>
  </si>
  <si>
    <t>Regelbundenhet</t>
  </si>
  <si>
    <t>Longering</t>
  </si>
  <si>
    <t>Summa</t>
  </si>
  <si>
    <t>Domare:</t>
  </si>
  <si>
    <t>Signatur:</t>
  </si>
  <si>
    <t xml:space="preserve">Korrekta hjälper,
Lämplig piskhantering,
sträckt lina, kontakt med hästen,
linförarens position och hållning
</t>
  </si>
  <si>
    <t xml:space="preserve">Lätt och stadig kontakt med bettet, nosen framför lodplan,
bärighet med nacken som högsta punkt
</t>
  </si>
  <si>
    <t>Anteckningar</t>
  </si>
  <si>
    <t>Grundsits</t>
  </si>
  <si>
    <t>Fana</t>
  </si>
  <si>
    <t>Stående</t>
  </si>
  <si>
    <t>Halv kvarn</t>
  </si>
  <si>
    <t>Framåtsving, ben ihop</t>
  </si>
  <si>
    <t>Bakåtsving, öppna ben, avg.</t>
  </si>
  <si>
    <t>Kommentarer</t>
  </si>
  <si>
    <t>Summa grund:</t>
  </si>
  <si>
    <t xml:space="preserve">/ 7  övningar  </t>
  </si>
  <si>
    <t>Poäng, grund</t>
  </si>
  <si>
    <t>Kvarn</t>
  </si>
  <si>
    <t>Sax del 1</t>
  </si>
  <si>
    <t>Sax del 2</t>
  </si>
  <si>
    <t>Avhopp, insida</t>
  </si>
  <si>
    <t>Sidhopp del 1</t>
  </si>
  <si>
    <t>Avhopp, utsida</t>
  </si>
  <si>
    <t>Avdrag</t>
  </si>
  <si>
    <t>Klass nr</t>
  </si>
  <si>
    <t>Linförare:</t>
  </si>
  <si>
    <t>Poäng 0 till 10</t>
  </si>
  <si>
    <t>Klubb:</t>
  </si>
  <si>
    <t>Start nr</t>
  </si>
  <si>
    <t>Bord</t>
  </si>
  <si>
    <t>Information</t>
  </si>
  <si>
    <t>Grund</t>
  </si>
  <si>
    <t>delas med</t>
  </si>
  <si>
    <t>st</t>
  </si>
  <si>
    <t xml:space="preserve">/ 6  övningar  </t>
  </si>
  <si>
    <t>Häst</t>
  </si>
  <si>
    <t>Gångarts-kvalitet</t>
  </si>
  <si>
    <t>Framåtbjudning, driver bakifrån,
energisk</t>
  </si>
  <si>
    <r>
      <t xml:space="preserve">Voltigerbarhet
</t>
    </r>
    <r>
      <rPr>
        <b/>
        <sz val="8"/>
        <rFont val="Verdana"/>
        <family val="2"/>
      </rPr>
      <t>Samarbete mellan linförare och häst</t>
    </r>
  </si>
  <si>
    <t>Lydighet</t>
  </si>
  <si>
    <t>Uppmärksam och följsam. Voltens rundhet.</t>
  </si>
  <si>
    <t>medhjälpare till hästen -2</t>
  </si>
  <si>
    <t>x2</t>
  </si>
  <si>
    <t>Grund+Häst</t>
  </si>
  <si>
    <t>Grundpoäng</t>
  </si>
  <si>
    <t>/ 8</t>
  </si>
  <si>
    <t>Skritt mellanklass lag</t>
  </si>
  <si>
    <t xml:space="preserve">I skritt bedöms alla delar av varje domare. </t>
  </si>
  <si>
    <t xml:space="preserve"> / 6 voltigörer</t>
  </si>
  <si>
    <t>Grund x 3 + Häst</t>
  </si>
  <si>
    <t>/ 4</t>
  </si>
  <si>
    <t>Skritt svårklass juniorlag</t>
  </si>
  <si>
    <t>Total</t>
  </si>
  <si>
    <t>Skritt svårklass seniorlag</t>
  </si>
  <si>
    <t>Svår, juniorlag</t>
  </si>
  <si>
    <t>Svår, seniorlag</t>
  </si>
  <si>
    <t>Kûr</t>
  </si>
  <si>
    <t>Skritt mellan grund</t>
  </si>
  <si>
    <t>Skritt jrlag grund</t>
  </si>
  <si>
    <t>Skritt srlag grund</t>
  </si>
  <si>
    <t>Kür</t>
  </si>
  <si>
    <t>Gångartskvalitet</t>
  </si>
  <si>
    <r>
      <t xml:space="preserve">Voltigerbarhet
</t>
    </r>
    <r>
      <rPr>
        <b/>
        <sz val="8"/>
        <rFont val="Arial"/>
        <family val="2"/>
      </rPr>
      <t>Samarbete mellan linförare och häst</t>
    </r>
  </si>
  <si>
    <t>medhjälpare till hästen, -2</t>
  </si>
  <si>
    <t>Balans:</t>
  </si>
  <si>
    <t>x1,5</t>
  </si>
  <si>
    <t>Spänning och sträckning:</t>
  </si>
  <si>
    <t>Hänsyn till hästen:</t>
  </si>
  <si>
    <t>Utstrålning, karisma, utnyttjande av musiken:</t>
  </si>
  <si>
    <t>Häst(automatiskt från ovan angivna poäng):</t>
  </si>
  <si>
    <t>Total:</t>
  </si>
  <si>
    <t>/ 10 = Total Kür:</t>
  </si>
  <si>
    <t xml:space="preserve">Lag </t>
  </si>
  <si>
    <t>x2,5</t>
  </si>
  <si>
    <t>Skritt lagkür</t>
  </si>
  <si>
    <t>Omg 1</t>
  </si>
  <si>
    <t>Mellanklass, lag</t>
  </si>
</sst>
</file>

<file path=xl/styles.xml><?xml version="1.0" encoding="utf-8"?>
<styleSheet xmlns="http://schemas.openxmlformats.org/spreadsheetml/2006/main">
  <numFmts count="7">
    <numFmt numFmtId="43" formatCode="_-* #,##0.00\ _k_r_-;\-* #,##0.00\ _k_r_-;_-* &quot;-&quot;??\ _k_r_-;_-@_-"/>
    <numFmt numFmtId="164" formatCode="_-* #,##0.00_-;\-* #,##0.00_-;_-* &quot;-&quot;??_-;_-@_-"/>
    <numFmt numFmtId="165" formatCode="#,##0.0"/>
    <numFmt numFmtId="166" formatCode="#,##0.000"/>
    <numFmt numFmtId="167" formatCode="0.000"/>
    <numFmt numFmtId="168" formatCode="_-* #,##0.000_-;\-* #,##0.000_-;_-* &quot;-&quot;??_-;_-@_-"/>
    <numFmt numFmtId="169" formatCode="0.0"/>
  </numFmts>
  <fonts count="26">
    <font>
      <sz val="10"/>
      <name val="Arial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trike/>
      <sz val="10"/>
      <name val="Verdana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sz val="7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7"/>
      <color rgb="FF000000"/>
      <name val="Verdana"/>
      <family val="2"/>
    </font>
    <font>
      <sz val="7"/>
      <color indexed="8"/>
      <name val="Cambria"/>
      <family val="1"/>
    </font>
    <font>
      <b/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  <charset val="204"/>
    </font>
    <font>
      <sz val="12"/>
      <name val="Arial"/>
      <family val="2"/>
    </font>
    <font>
      <sz val="7"/>
      <color rgb="FF000000"/>
      <name val="Cambria"/>
      <family val="1"/>
      <scheme val="major"/>
    </font>
    <font>
      <b/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3" fillId="0" borderId="0" xfId="0" applyFont="1" applyFill="1"/>
    <xf numFmtId="0" fontId="3" fillId="0" borderId="11" xfId="0" applyFont="1" applyFill="1" applyBorder="1" applyAlignment="1">
      <alignment horizontal="center" vertical="center"/>
    </xf>
    <xf numFmtId="165" fontId="3" fillId="0" borderId="12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3" fillId="0" borderId="0" xfId="2" applyFont="1" applyFill="1"/>
    <xf numFmtId="165" fontId="5" fillId="0" borderId="1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11" fillId="0" borderId="0" xfId="4" applyFont="1"/>
    <xf numFmtId="0" fontId="7" fillId="0" borderId="0" xfId="4"/>
    <xf numFmtId="0" fontId="3" fillId="0" borderId="0" xfId="5" applyFont="1" applyFill="1" applyBorder="1"/>
    <xf numFmtId="0" fontId="8" fillId="0" borderId="0" xfId="5" applyFont="1" applyFill="1" applyBorder="1"/>
    <xf numFmtId="0" fontId="4" fillId="0" borderId="15" xfId="5" applyFont="1" applyFill="1" applyBorder="1" applyAlignment="1">
      <alignment horizontal="center" vertical="center"/>
    </xf>
    <xf numFmtId="0" fontId="8" fillId="0" borderId="14" xfId="5" applyFont="1" applyFill="1" applyBorder="1" applyAlignment="1">
      <alignment horizontal="left" vertical="center"/>
    </xf>
    <xf numFmtId="0" fontId="3" fillId="0" borderId="14" xfId="5" applyFont="1" applyFill="1" applyBorder="1"/>
    <xf numFmtId="0" fontId="4" fillId="0" borderId="13" xfId="5" applyFont="1" applyFill="1" applyBorder="1" applyAlignment="1">
      <alignment horizontal="center" vertical="center"/>
    </xf>
    <xf numFmtId="0" fontId="8" fillId="0" borderId="0" xfId="5" applyFont="1" applyFill="1" applyBorder="1" applyAlignment="1">
      <alignment vertical="center"/>
    </xf>
    <xf numFmtId="0" fontId="3" fillId="0" borderId="1" xfId="5" applyFont="1" applyFill="1" applyBorder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/>
    <xf numFmtId="0" fontId="3" fillId="0" borderId="22" xfId="5" applyFont="1" applyFill="1" applyBorder="1"/>
    <xf numFmtId="0" fontId="3" fillId="0" borderId="1" xfId="5" applyFont="1" applyFill="1" applyBorder="1" applyAlignment="1"/>
    <xf numFmtId="0" fontId="3" fillId="0" borderId="1" xfId="5" applyFont="1" applyFill="1" applyBorder="1" applyAlignment="1"/>
    <xf numFmtId="0" fontId="3" fillId="0" borderId="1" xfId="5" applyFont="1" applyFill="1" applyBorder="1" applyAlignment="1">
      <alignment horizontal="center"/>
    </xf>
    <xf numFmtId="0" fontId="3" fillId="0" borderId="2" xfId="5" applyFont="1" applyFill="1" applyBorder="1" applyAlignment="1"/>
    <xf numFmtId="0" fontId="3" fillId="0" borderId="2" xfId="5" applyFont="1" applyFill="1" applyBorder="1" applyAlignment="1"/>
    <xf numFmtId="9" fontId="10" fillId="0" borderId="0" xfId="5" applyNumberFormat="1" applyFont="1" applyFill="1" applyBorder="1" applyAlignment="1">
      <alignment horizontal="center" textRotation="90" wrapText="1"/>
    </xf>
    <xf numFmtId="0" fontId="4" fillId="0" borderId="0" xfId="5" applyFont="1" applyFill="1" applyBorder="1" applyAlignment="1">
      <alignment vertical="center"/>
    </xf>
    <xf numFmtId="0" fontId="4" fillId="0" borderId="0" xfId="5" applyFont="1" applyFill="1" applyBorder="1" applyAlignment="1">
      <alignment horizontal="center" vertical="center"/>
    </xf>
    <xf numFmtId="165" fontId="3" fillId="0" borderId="11" xfId="5" applyNumberFormat="1" applyFont="1" applyFill="1" applyBorder="1" applyAlignment="1">
      <alignment horizontal="center" vertical="center"/>
    </xf>
    <xf numFmtId="0" fontId="3" fillId="0" borderId="3" xfId="5" applyFont="1" applyFill="1" applyBorder="1"/>
    <xf numFmtId="0" fontId="3" fillId="0" borderId="4" xfId="5" applyFont="1" applyFill="1" applyBorder="1"/>
    <xf numFmtId="0" fontId="3" fillId="0" borderId="6" xfId="5" applyFont="1" applyFill="1" applyBorder="1"/>
    <xf numFmtId="0" fontId="3" fillId="0" borderId="0" xfId="5" applyFont="1" applyFill="1" applyBorder="1" applyAlignment="1">
      <alignment horizontal="right"/>
    </xf>
    <xf numFmtId="0" fontId="3" fillId="0" borderId="7" xfId="5" applyFont="1" applyFill="1" applyBorder="1"/>
    <xf numFmtId="1" fontId="3" fillId="0" borderId="11" xfId="5" applyNumberFormat="1" applyFont="1" applyFill="1" applyBorder="1" applyAlignment="1">
      <alignment horizontal="right"/>
    </xf>
    <xf numFmtId="0" fontId="3" fillId="0" borderId="0" xfId="5" applyFont="1" applyFill="1" applyBorder="1" applyAlignment="1">
      <alignment horizontal="left"/>
    </xf>
    <xf numFmtId="166" fontId="3" fillId="0" borderId="16" xfId="5" applyNumberFormat="1" applyFont="1" applyFill="1" applyBorder="1" applyAlignment="1">
      <alignment horizontal="center" vertical="center"/>
    </xf>
    <xf numFmtId="0" fontId="3" fillId="0" borderId="8" xfId="5" applyFont="1" applyFill="1" applyBorder="1"/>
    <xf numFmtId="165" fontId="3" fillId="0" borderId="0" xfId="5" applyNumberFormat="1" applyFont="1" applyFill="1" applyBorder="1" applyAlignment="1">
      <alignment horizontal="center"/>
    </xf>
    <xf numFmtId="0" fontId="8" fillId="0" borderId="15" xfId="5" applyFont="1" applyFill="1" applyBorder="1" applyAlignment="1">
      <alignment horizontal="left" vertical="center"/>
    </xf>
    <xf numFmtId="0" fontId="6" fillId="0" borderId="14" xfId="5" applyFont="1" applyFill="1" applyBorder="1" applyAlignment="1">
      <alignment horizontal="right" vertical="center"/>
    </xf>
    <xf numFmtId="0" fontId="3" fillId="0" borderId="13" xfId="5" applyFont="1" applyFill="1" applyBorder="1" applyAlignment="1">
      <alignment horizontal="right" vertical="center"/>
    </xf>
    <xf numFmtId="166" fontId="8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left"/>
    </xf>
    <xf numFmtId="0" fontId="6" fillId="0" borderId="0" xfId="5" applyFont="1" applyFill="1" applyBorder="1"/>
    <xf numFmtId="0" fontId="6" fillId="0" borderId="0" xfId="5" applyFont="1" applyFill="1" applyBorder="1" applyAlignment="1">
      <alignment horizontal="right"/>
    </xf>
    <xf numFmtId="166" fontId="4" fillId="0" borderId="0" xfId="5" applyNumberFormat="1" applyFont="1" applyFill="1" applyBorder="1" applyAlignment="1">
      <alignment horizontal="center"/>
    </xf>
    <xf numFmtId="0" fontId="8" fillId="0" borderId="0" xfId="2" applyFont="1" applyFill="1" applyAlignment="1">
      <alignment vertical="center"/>
    </xf>
    <xf numFmtId="9" fontId="15" fillId="0" borderId="11" xfId="2" applyNumberFormat="1" applyFont="1" applyFill="1" applyBorder="1" applyAlignment="1">
      <alignment horizontal="center" vertical="center" wrapText="1"/>
    </xf>
    <xf numFmtId="0" fontId="21" fillId="0" borderId="11" xfId="2" applyFont="1" applyFill="1" applyBorder="1" applyAlignment="1">
      <alignment horizontal="center" vertical="center" wrapText="1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8" xfId="6" applyNumberFormat="1" applyFont="1" applyFill="1" applyBorder="1" applyAlignment="1">
      <alignment horizontal="center" vertical="center" wrapText="1"/>
    </xf>
    <xf numFmtId="0" fontId="3" fillId="0" borderId="0" xfId="5" applyFont="1" applyFill="1"/>
    <xf numFmtId="0" fontId="4" fillId="0" borderId="23" xfId="5" applyFont="1" applyFill="1" applyBorder="1" applyAlignment="1">
      <alignment horizontal="right"/>
    </xf>
    <xf numFmtId="0" fontId="8" fillId="0" borderId="14" xfId="5" applyFont="1" applyFill="1" applyBorder="1" applyAlignment="1">
      <alignment horizontal="right"/>
    </xf>
    <xf numFmtId="167" fontId="3" fillId="0" borderId="16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right"/>
    </xf>
    <xf numFmtId="0" fontId="8" fillId="0" borderId="0" xfId="5" applyFont="1" applyFill="1" applyBorder="1" applyAlignment="1">
      <alignment horizontal="right"/>
    </xf>
    <xf numFmtId="0" fontId="6" fillId="0" borderId="15" xfId="5" applyFont="1" applyFill="1" applyBorder="1"/>
    <xf numFmtId="0" fontId="8" fillId="0" borderId="13" xfId="5" applyFont="1" applyFill="1" applyBorder="1" applyAlignment="1">
      <alignment horizontal="right"/>
    </xf>
    <xf numFmtId="0" fontId="3" fillId="0" borderId="1" xfId="5" applyFont="1" applyFill="1" applyBorder="1" applyAlignment="1">
      <alignment horizontal="left"/>
    </xf>
    <xf numFmtId="0" fontId="4" fillId="0" borderId="1" xfId="5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 shrinkToFit="1"/>
    </xf>
    <xf numFmtId="165" fontId="3" fillId="0" borderId="6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22" fillId="0" borderId="0" xfId="4" applyFont="1"/>
    <xf numFmtId="165" fontId="3" fillId="0" borderId="11" xfId="5" applyNumberFormat="1" applyFont="1" applyFill="1" applyBorder="1"/>
    <xf numFmtId="165" fontId="3" fillId="0" borderId="0" xfId="5" applyNumberFormat="1" applyFont="1" applyFill="1" applyBorder="1" applyAlignment="1">
      <alignment horizontal="right"/>
    </xf>
    <xf numFmtId="167" fontId="3" fillId="0" borderId="11" xfId="5" applyNumberFormat="1" applyFont="1" applyFill="1" applyBorder="1"/>
    <xf numFmtId="0" fontId="3" fillId="0" borderId="0" xfId="0" applyFont="1" applyFill="1" applyBorder="1" applyAlignment="1">
      <alignment horizontal="left" vertical="center" shrinkToFit="1"/>
    </xf>
    <xf numFmtId="9" fontId="15" fillId="0" borderId="11" xfId="2" applyNumberFormat="1" applyFont="1" applyFill="1" applyBorder="1" applyAlignment="1">
      <alignment horizontal="center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0" fontId="3" fillId="0" borderId="0" xfId="7" applyFont="1" applyFill="1" applyBorder="1"/>
    <xf numFmtId="0" fontId="8" fillId="0" borderId="0" xfId="7" applyFont="1" applyFill="1" applyBorder="1"/>
    <xf numFmtId="0" fontId="4" fillId="0" borderId="15" xfId="7" applyFont="1" applyFill="1" applyBorder="1" applyAlignment="1">
      <alignment horizontal="center" vertical="center"/>
    </xf>
    <xf numFmtId="0" fontId="8" fillId="0" borderId="14" xfId="7" applyFont="1" applyFill="1" applyBorder="1" applyAlignment="1">
      <alignment horizontal="left" vertical="center"/>
    </xf>
    <xf numFmtId="0" fontId="3" fillId="0" borderId="14" xfId="7" applyFont="1" applyFill="1" applyBorder="1"/>
    <xf numFmtId="0" fontId="4" fillId="0" borderId="13" xfId="7" applyFont="1" applyFill="1" applyBorder="1" applyAlignment="1">
      <alignment horizontal="center" vertical="center"/>
    </xf>
    <xf numFmtId="0" fontId="8" fillId="0" borderId="0" xfId="7" applyFont="1" applyFill="1" applyBorder="1" applyAlignment="1">
      <alignment vertical="center"/>
    </xf>
    <xf numFmtId="0" fontId="3" fillId="0" borderId="1" xfId="7" applyFont="1" applyFill="1" applyBorder="1"/>
    <xf numFmtId="0" fontId="3" fillId="0" borderId="1" xfId="7" applyFont="1" applyFill="1" applyBorder="1" applyAlignment="1">
      <alignment horizontal="center"/>
    </xf>
    <xf numFmtId="0" fontId="3" fillId="0" borderId="2" xfId="7" applyFont="1" applyFill="1" applyBorder="1"/>
    <xf numFmtId="0" fontId="3" fillId="0" borderId="22" xfId="7" applyFont="1" applyFill="1" applyBorder="1"/>
    <xf numFmtId="0" fontId="3" fillId="0" borderId="1" xfId="7" applyFont="1" applyFill="1" applyBorder="1" applyAlignment="1"/>
    <xf numFmtId="0" fontId="3" fillId="0" borderId="2" xfId="7" applyFont="1" applyFill="1" applyBorder="1" applyAlignment="1"/>
    <xf numFmtId="9" fontId="10" fillId="0" borderId="0" xfId="7" applyNumberFormat="1" applyFont="1" applyFill="1" applyBorder="1" applyAlignment="1">
      <alignment horizontal="center" textRotation="90" wrapText="1"/>
    </xf>
    <xf numFmtId="0" fontId="4" fillId="0" borderId="0" xfId="7" applyFont="1" applyFill="1" applyBorder="1" applyAlignment="1">
      <alignment vertical="center"/>
    </xf>
    <xf numFmtId="0" fontId="4" fillId="0" borderId="0" xfId="7" applyFont="1" applyFill="1" applyBorder="1" applyAlignment="1">
      <alignment horizontal="center" vertical="center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0" fontId="3" fillId="0" borderId="24" xfId="7" applyFont="1" applyFill="1" applyBorder="1"/>
    <xf numFmtId="167" fontId="3" fillId="0" borderId="19" xfId="8" applyNumberFormat="1" applyFont="1" applyFill="1" applyBorder="1" applyAlignment="1">
      <alignment horizontal="center" vertical="center" wrapText="1"/>
    </xf>
    <xf numFmtId="0" fontId="3" fillId="0" borderId="0" xfId="7" applyFont="1" applyFill="1"/>
    <xf numFmtId="0" fontId="3" fillId="0" borderId="0" xfId="7" applyFont="1" applyFill="1" applyBorder="1" applyAlignment="1">
      <alignment horizontal="left"/>
    </xf>
    <xf numFmtId="0" fontId="3" fillId="0" borderId="0" xfId="7" applyFont="1" applyFill="1" applyBorder="1" applyAlignment="1"/>
    <xf numFmtId="167" fontId="3" fillId="0" borderId="19" xfId="7" applyNumberFormat="1" applyFont="1" applyFill="1" applyBorder="1" applyAlignment="1">
      <alignment horizontal="center" vertical="center"/>
    </xf>
    <xf numFmtId="0" fontId="8" fillId="0" borderId="0" xfId="7" applyFont="1" applyFill="1"/>
    <xf numFmtId="168" fontId="3" fillId="0" borderId="11" xfId="8" applyNumberFormat="1" applyFont="1" applyFill="1" applyBorder="1" applyAlignment="1">
      <alignment horizontal="center" vertical="center"/>
    </xf>
    <xf numFmtId="0" fontId="3" fillId="0" borderId="11" xfId="7" applyFont="1" applyFill="1" applyBorder="1" applyAlignment="1">
      <alignment horizontal="center" vertical="center"/>
    </xf>
    <xf numFmtId="167" fontId="3" fillId="0" borderId="11" xfId="7" applyNumberFormat="1" applyFont="1" applyFill="1" applyBorder="1" applyAlignment="1">
      <alignment horizontal="center" vertical="center"/>
    </xf>
    <xf numFmtId="164" fontId="3" fillId="0" borderId="0" xfId="8" applyNumberFormat="1" applyFont="1" applyFill="1" applyBorder="1"/>
    <xf numFmtId="167" fontId="3" fillId="0" borderId="0" xfId="7" applyNumberFormat="1" applyFont="1" applyFill="1" applyBorder="1" applyAlignment="1">
      <alignment horizontal="center" vertical="center"/>
    </xf>
    <xf numFmtId="167" fontId="4" fillId="0" borderId="0" xfId="8" applyNumberFormat="1" applyFont="1" applyFill="1" applyBorder="1" applyAlignment="1">
      <alignment horizontal="center" vertical="center"/>
    </xf>
    <xf numFmtId="167" fontId="4" fillId="0" borderId="16" xfId="8" applyNumberFormat="1" applyFont="1" applyFill="1" applyBorder="1" applyAlignment="1">
      <alignment horizontal="center" vertical="center"/>
    </xf>
    <xf numFmtId="0" fontId="4" fillId="0" borderId="0" xfId="7" applyFont="1" applyFill="1" applyBorder="1" applyAlignment="1">
      <alignment horizontal="left"/>
    </xf>
    <xf numFmtId="0" fontId="6" fillId="0" borderId="0" xfId="7" applyFont="1" applyFill="1" applyBorder="1"/>
    <xf numFmtId="0" fontId="6" fillId="0" borderId="0" xfId="7" applyFont="1" applyFill="1" applyBorder="1" applyAlignment="1">
      <alignment horizontal="right"/>
    </xf>
    <xf numFmtId="0" fontId="3" fillId="0" borderId="0" xfId="7" applyFont="1" applyFill="1" applyBorder="1" applyAlignment="1">
      <alignment horizontal="right"/>
    </xf>
    <xf numFmtId="166" fontId="4" fillId="0" borderId="0" xfId="7" applyNumberFormat="1" applyFont="1" applyFill="1" applyBorder="1" applyAlignment="1">
      <alignment horizontal="center"/>
    </xf>
    <xf numFmtId="0" fontId="3" fillId="0" borderId="1" xfId="7" applyFont="1" applyFill="1" applyBorder="1" applyAlignment="1">
      <alignment horizontal="left"/>
    </xf>
    <xf numFmtId="0" fontId="10" fillId="0" borderId="0" xfId="4" applyFont="1"/>
    <xf numFmtId="0" fontId="10" fillId="0" borderId="0" xfId="4" applyFont="1" applyBorder="1"/>
    <xf numFmtId="0" fontId="7" fillId="0" borderId="0" xfId="4" applyFont="1"/>
    <xf numFmtId="0" fontId="7" fillId="0" borderId="11" xfId="4" applyFont="1" applyBorder="1" applyAlignment="1">
      <alignment wrapText="1"/>
    </xf>
    <xf numFmtId="0" fontId="7" fillId="0" borderId="0" xfId="4" applyFont="1" applyBorder="1" applyAlignment="1">
      <alignment wrapText="1"/>
    </xf>
    <xf numFmtId="0" fontId="7" fillId="0" borderId="2" xfId="4" applyFont="1" applyBorder="1" applyAlignment="1">
      <alignment wrapText="1"/>
    </xf>
    <xf numFmtId="0" fontId="7" fillId="0" borderId="8" xfId="2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/>
    </xf>
    <xf numFmtId="0" fontId="7" fillId="0" borderId="9" xfId="2" applyFont="1" applyFill="1" applyBorder="1" applyAlignment="1">
      <alignment horizontal="left" vertical="center"/>
    </xf>
    <xf numFmtId="0" fontId="3" fillId="0" borderId="1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 shrinkToFit="1"/>
    </xf>
    <xf numFmtId="0" fontId="3" fillId="0" borderId="12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12" xfId="0" applyFont="1" applyFill="1" applyBorder="1" applyAlignment="1">
      <alignment horizontal="left" vertical="center" shrinkToFit="1"/>
    </xf>
    <xf numFmtId="0" fontId="4" fillId="0" borderId="20" xfId="2" applyFont="1" applyFill="1" applyBorder="1" applyAlignment="1">
      <alignment horizontal="center" vertical="center" textRotation="90" wrapText="1"/>
    </xf>
    <xf numFmtId="0" fontId="4" fillId="0" borderId="19" xfId="2" applyFont="1" applyFill="1" applyBorder="1" applyAlignment="1">
      <alignment horizontal="center" vertical="center" textRotation="90" wrapText="1"/>
    </xf>
    <xf numFmtId="0" fontId="19" fillId="0" borderId="10" xfId="2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12" xfId="2" applyFont="1" applyFill="1" applyBorder="1" applyAlignment="1">
      <alignment horizontal="left" vertical="center" wrapText="1"/>
    </xf>
    <xf numFmtId="0" fontId="17" fillId="0" borderId="10" xfId="2" applyFont="1" applyFill="1" applyBorder="1" applyAlignment="1">
      <alignment horizontal="center" vertical="center" wrapText="1"/>
    </xf>
    <xf numFmtId="0" fontId="17" fillId="0" borderId="12" xfId="2" applyFont="1" applyFill="1" applyBorder="1" applyAlignment="1">
      <alignment horizontal="center" vertical="center" wrapText="1"/>
    </xf>
    <xf numFmtId="0" fontId="19" fillId="0" borderId="10" xfId="2" applyFont="1" applyFill="1" applyBorder="1" applyAlignment="1">
      <alignment horizontal="left" vertical="center"/>
    </xf>
    <xf numFmtId="0" fontId="19" fillId="0" borderId="2" xfId="2" applyFont="1" applyFill="1" applyBorder="1" applyAlignment="1">
      <alignment horizontal="left" vertical="center"/>
    </xf>
    <xf numFmtId="0" fontId="19" fillId="0" borderId="12" xfId="2" applyFont="1" applyFill="1" applyBorder="1" applyAlignment="1">
      <alignment horizontal="left" vertical="center"/>
    </xf>
    <xf numFmtId="0" fontId="4" fillId="0" borderId="18" xfId="2" applyFont="1" applyFill="1" applyBorder="1" applyAlignment="1">
      <alignment horizontal="center" vertical="center" textRotation="90" wrapText="1"/>
    </xf>
    <xf numFmtId="0" fontId="12" fillId="0" borderId="11" xfId="2" applyFont="1" applyFill="1" applyBorder="1" applyAlignment="1">
      <alignment horizontal="left" vertical="center" wrapText="1"/>
    </xf>
    <xf numFmtId="0" fontId="12" fillId="0" borderId="20" xfId="2" applyFont="1" applyFill="1" applyBorder="1" applyAlignment="1">
      <alignment horizontal="left" vertical="center" wrapText="1"/>
    </xf>
    <xf numFmtId="169" fontId="4" fillId="0" borderId="11" xfId="6" applyNumberFormat="1" applyFont="1" applyFill="1" applyBorder="1" applyAlignment="1" applyProtection="1">
      <alignment horizontal="center" vertical="center"/>
      <protection locked="0"/>
    </xf>
    <xf numFmtId="169" fontId="4" fillId="0" borderId="20" xfId="6" applyNumberFormat="1" applyFont="1" applyFill="1" applyBorder="1" applyAlignment="1" applyProtection="1">
      <alignment horizontal="center" vertical="center"/>
      <protection locked="0"/>
    </xf>
    <xf numFmtId="167" fontId="3" fillId="0" borderId="11" xfId="6" applyNumberFormat="1" applyFont="1" applyFill="1" applyBorder="1" applyAlignment="1">
      <alignment horizontal="center" vertical="center" wrapText="1"/>
    </xf>
    <xf numFmtId="167" fontId="3" fillId="0" borderId="20" xfId="6" applyNumberFormat="1" applyFont="1" applyFill="1" applyBorder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5" xfId="2" applyFont="1" applyFill="1" applyBorder="1" applyAlignment="1">
      <alignment horizontal="center" vertical="center" wrapText="1"/>
    </xf>
    <xf numFmtId="0" fontId="14" fillId="0" borderId="10" xfId="2" applyFont="1" applyFill="1" applyBorder="1" applyAlignment="1">
      <alignment horizontal="center" vertical="center" wrapText="1"/>
    </xf>
    <xf numFmtId="0" fontId="14" fillId="0" borderId="12" xfId="2" applyFont="1" applyFill="1" applyBorder="1" applyAlignment="1">
      <alignment horizontal="center" vertical="center" wrapText="1"/>
    </xf>
    <xf numFmtId="9" fontId="15" fillId="0" borderId="11" xfId="2" applyNumberFormat="1" applyFont="1" applyFill="1" applyBorder="1" applyAlignment="1">
      <alignment horizontal="center" vertical="center" wrapText="1"/>
    </xf>
    <xf numFmtId="0" fontId="15" fillId="0" borderId="11" xfId="2" applyFont="1" applyFill="1" applyBorder="1" applyAlignment="1">
      <alignment horizontal="center" vertical="center" wrapText="1"/>
    </xf>
    <xf numFmtId="0" fontId="15" fillId="0" borderId="20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/>
    </xf>
    <xf numFmtId="0" fontId="5" fillId="0" borderId="5" xfId="2" applyFont="1" applyFill="1" applyBorder="1" applyAlignment="1">
      <alignment horizontal="center"/>
    </xf>
    <xf numFmtId="0" fontId="5" fillId="0" borderId="3" xfId="2" applyFont="1" applyFill="1" applyBorder="1" applyAlignment="1">
      <alignment horizontal="center" wrapText="1"/>
    </xf>
    <xf numFmtId="0" fontId="5" fillId="0" borderId="4" xfId="2" applyFont="1" applyFill="1" applyBorder="1" applyAlignment="1">
      <alignment horizontal="center" wrapText="1"/>
    </xf>
    <xf numFmtId="0" fontId="5" fillId="0" borderId="5" xfId="2" applyFont="1" applyFill="1" applyBorder="1" applyAlignment="1">
      <alignment horizontal="center" wrapText="1"/>
    </xf>
    <xf numFmtId="0" fontId="3" fillId="0" borderId="2" xfId="5" applyFont="1" applyFill="1" applyBorder="1" applyAlignment="1">
      <alignment horizontal="center"/>
    </xf>
    <xf numFmtId="0" fontId="3" fillId="0" borderId="2" xfId="5" applyFont="1" applyFill="1" applyBorder="1" applyAlignment="1">
      <alignment horizontal="left"/>
    </xf>
    <xf numFmtId="0" fontId="3" fillId="0" borderId="2" xfId="5" applyFont="1" applyFill="1" applyBorder="1" applyAlignment="1"/>
    <xf numFmtId="0" fontId="3" fillId="0" borderId="1" xfId="5" applyFont="1" applyFill="1" applyBorder="1" applyAlignment="1">
      <alignment horizontal="left"/>
    </xf>
    <xf numFmtId="0" fontId="3" fillId="0" borderId="1" xfId="5" applyFont="1" applyFill="1" applyBorder="1" applyAlignment="1"/>
    <xf numFmtId="0" fontId="3" fillId="0" borderId="1" xfId="5" applyFont="1" applyFill="1" applyBorder="1" applyAlignment="1">
      <alignment horizontal="center"/>
    </xf>
    <xf numFmtId="0" fontId="3" fillId="0" borderId="8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8" fillId="0" borderId="15" xfId="7" applyFont="1" applyFill="1" applyBorder="1" applyAlignment="1">
      <alignment vertical="center"/>
    </xf>
    <xf numFmtId="0" fontId="8" fillId="0" borderId="14" xfId="7" applyFont="1" applyFill="1" applyBorder="1" applyAlignment="1">
      <alignment vertical="center"/>
    </xf>
    <xf numFmtId="0" fontId="8" fillId="0" borderId="13" xfId="7" applyFont="1" applyFill="1" applyBorder="1" applyAlignment="1">
      <alignment vertical="center"/>
    </xf>
    <xf numFmtId="0" fontId="9" fillId="0" borderId="11" xfId="7" applyFont="1" applyFill="1" applyBorder="1" applyAlignment="1">
      <alignment vertical="center"/>
    </xf>
    <xf numFmtId="167" fontId="3" fillId="0" borderId="11" xfId="7" applyNumberFormat="1" applyFont="1" applyFill="1" applyBorder="1" applyAlignment="1">
      <alignment horizontal="center" vertical="center"/>
    </xf>
    <xf numFmtId="0" fontId="3" fillId="0" borderId="3" xfId="7" applyFont="1" applyFill="1" applyBorder="1" applyAlignment="1">
      <alignment horizontal="left" vertical="top"/>
    </xf>
    <xf numFmtId="0" fontId="3" fillId="0" borderId="4" xfId="7" applyFont="1" applyFill="1" applyBorder="1" applyAlignment="1">
      <alignment horizontal="left" vertical="top"/>
    </xf>
    <xf numFmtId="0" fontId="3" fillId="0" borderId="5" xfId="7" applyFont="1" applyFill="1" applyBorder="1" applyAlignment="1">
      <alignment horizontal="left" vertical="top"/>
    </xf>
    <xf numFmtId="0" fontId="3" fillId="0" borderId="6" xfId="7" applyFont="1" applyFill="1" applyBorder="1" applyAlignment="1">
      <alignment horizontal="left" vertical="top"/>
    </xf>
    <xf numFmtId="0" fontId="3" fillId="0" borderId="0" xfId="7" applyFont="1" applyFill="1" applyBorder="1" applyAlignment="1">
      <alignment horizontal="left" vertical="top"/>
    </xf>
    <xf numFmtId="0" fontId="3" fillId="0" borderId="7" xfId="7" applyFont="1" applyFill="1" applyBorder="1" applyAlignment="1">
      <alignment horizontal="left" vertical="top"/>
    </xf>
    <xf numFmtId="0" fontId="3" fillId="0" borderId="8" xfId="7" applyFont="1" applyFill="1" applyBorder="1" applyAlignment="1">
      <alignment horizontal="left" vertical="top"/>
    </xf>
    <xf numFmtId="0" fontId="3" fillId="0" borderId="1" xfId="7" applyFont="1" applyFill="1" applyBorder="1" applyAlignment="1">
      <alignment horizontal="left" vertical="top"/>
    </xf>
    <xf numFmtId="0" fontId="3" fillId="0" borderId="9" xfId="7" applyFont="1" applyFill="1" applyBorder="1" applyAlignment="1">
      <alignment horizontal="left" vertical="top"/>
    </xf>
    <xf numFmtId="0" fontId="21" fillId="0" borderId="20" xfId="2" applyFont="1" applyFill="1" applyBorder="1" applyAlignment="1">
      <alignment horizontal="center" vertical="center" textRotation="90" wrapText="1"/>
    </xf>
    <xf numFmtId="0" fontId="21" fillId="0" borderId="19" xfId="2" applyFont="1" applyFill="1" applyBorder="1" applyAlignment="1">
      <alignment horizontal="center" vertical="center" textRotation="90" wrapText="1"/>
    </xf>
    <xf numFmtId="0" fontId="25" fillId="0" borderId="10" xfId="2" applyFont="1" applyFill="1" applyBorder="1" applyAlignment="1">
      <alignment horizontal="left" vertical="center" wrapText="1"/>
    </xf>
    <xf numFmtId="0" fontId="25" fillId="0" borderId="2" xfId="2" applyFont="1" applyFill="1" applyBorder="1" applyAlignment="1">
      <alignment horizontal="left" vertical="center" wrapText="1"/>
    </xf>
    <xf numFmtId="0" fontId="25" fillId="0" borderId="12" xfId="2" applyFont="1" applyFill="1" applyBorder="1" applyAlignment="1">
      <alignment horizontal="left" vertical="center" wrapText="1"/>
    </xf>
    <xf numFmtId="0" fontId="25" fillId="0" borderId="10" xfId="2" applyFont="1" applyFill="1" applyBorder="1" applyAlignment="1">
      <alignment horizontal="left" vertical="center"/>
    </xf>
    <xf numFmtId="0" fontId="25" fillId="0" borderId="2" xfId="2" applyFont="1" applyFill="1" applyBorder="1" applyAlignment="1">
      <alignment horizontal="left" vertical="center"/>
    </xf>
    <xf numFmtId="0" fontId="25" fillId="0" borderId="12" xfId="2" applyFont="1" applyFill="1" applyBorder="1" applyAlignment="1">
      <alignment horizontal="left" vertical="center"/>
    </xf>
    <xf numFmtId="169" fontId="4" fillId="0" borderId="11" xfId="8" applyNumberFormat="1" applyFont="1" applyFill="1" applyBorder="1" applyAlignment="1" applyProtection="1">
      <alignment horizontal="center" vertical="center"/>
      <protection locked="0"/>
    </xf>
    <xf numFmtId="169" fontId="4" fillId="0" borderId="20" xfId="8" applyNumberFormat="1" applyFont="1" applyFill="1" applyBorder="1" applyAlignment="1" applyProtection="1">
      <alignment horizontal="center" vertical="center"/>
      <protection locked="0"/>
    </xf>
    <xf numFmtId="167" fontId="3" fillId="0" borderId="11" xfId="8" applyNumberFormat="1" applyFont="1" applyFill="1" applyBorder="1" applyAlignment="1">
      <alignment horizontal="center" vertical="center" wrapText="1"/>
    </xf>
    <xf numFmtId="167" fontId="3" fillId="0" borderId="20" xfId="8" applyNumberFormat="1" applyFont="1" applyFill="1" applyBorder="1" applyAlignment="1">
      <alignment horizontal="center" vertical="center" wrapText="1"/>
    </xf>
    <xf numFmtId="0" fontId="15" fillId="0" borderId="11" xfId="2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 wrapText="1"/>
    </xf>
    <xf numFmtId="0" fontId="21" fillId="0" borderId="18" xfId="2" applyFont="1" applyFill="1" applyBorder="1" applyAlignment="1">
      <alignment horizontal="center" vertical="center" textRotation="90" wrapText="1"/>
    </xf>
    <xf numFmtId="0" fontId="3" fillId="0" borderId="2" xfId="7" applyFont="1" applyFill="1" applyBorder="1" applyAlignment="1">
      <alignment horizontal="center"/>
    </xf>
    <xf numFmtId="0" fontId="3" fillId="0" borderId="2" xfId="7" applyFont="1" applyFill="1" applyBorder="1" applyAlignment="1">
      <alignment horizontal="left"/>
    </xf>
    <xf numFmtId="0" fontId="3" fillId="0" borderId="2" xfId="7" applyFont="1" applyFill="1" applyBorder="1" applyAlignment="1"/>
    <xf numFmtId="0" fontId="3" fillId="0" borderId="1" xfId="7" applyFont="1" applyFill="1" applyBorder="1" applyAlignment="1">
      <alignment horizontal="left"/>
    </xf>
    <xf numFmtId="0" fontId="3" fillId="0" borderId="1" xfId="7" applyFont="1" applyFill="1" applyBorder="1" applyAlignment="1"/>
    <xf numFmtId="0" fontId="3" fillId="0" borderId="1" xfId="7" applyFont="1" applyFill="1" applyBorder="1" applyAlignment="1">
      <alignment horizontal="center"/>
    </xf>
    <xf numFmtId="0" fontId="13" fillId="0" borderId="10" xfId="2" applyFont="1" applyFill="1" applyBorder="1" applyAlignment="1">
      <alignment horizontal="left" vertical="justify" wrapText="1"/>
    </xf>
    <xf numFmtId="0" fontId="13" fillId="0" borderId="12" xfId="2" applyFont="1" applyFill="1" applyBorder="1" applyAlignment="1">
      <alignment horizontal="left" vertical="justify" wrapText="1"/>
    </xf>
    <xf numFmtId="0" fontId="16" fillId="0" borderId="10" xfId="2" applyFont="1" applyFill="1" applyBorder="1" applyAlignment="1">
      <alignment horizontal="left" vertical="justify" wrapText="1"/>
    </xf>
    <xf numFmtId="0" fontId="16" fillId="0" borderId="2" xfId="2" applyFont="1" applyFill="1" applyBorder="1" applyAlignment="1">
      <alignment horizontal="left" vertical="justify" wrapText="1"/>
    </xf>
    <xf numFmtId="0" fontId="20" fillId="0" borderId="10" xfId="2" applyFont="1" applyFill="1" applyBorder="1" applyAlignment="1">
      <alignment horizontal="left" vertical="justify" wrapText="1"/>
    </xf>
    <xf numFmtId="0" fontId="20" fillId="0" borderId="2" xfId="2" applyFont="1" applyFill="1" applyBorder="1" applyAlignment="1">
      <alignment horizontal="left" vertical="justify" wrapText="1"/>
    </xf>
    <xf numFmtId="0" fontId="16" fillId="0" borderId="17" xfId="2" applyFont="1" applyFill="1" applyBorder="1" applyAlignment="1">
      <alignment horizontal="left" vertical="justify" wrapText="1"/>
    </xf>
    <xf numFmtId="0" fontId="16" fillId="0" borderId="21" xfId="2" applyFont="1" applyFill="1" applyBorder="1" applyAlignment="1">
      <alignment horizontal="left" vertical="justify" wrapText="1"/>
    </xf>
    <xf numFmtId="167" fontId="4" fillId="0" borderId="16" xfId="5" applyNumberFormat="1" applyFont="1" applyFill="1" applyBorder="1" applyAlignment="1">
      <alignment horizontal="center"/>
    </xf>
    <xf numFmtId="0" fontId="12" fillId="0" borderId="11" xfId="2" applyFont="1" applyFill="1" applyBorder="1" applyAlignment="1">
      <alignment horizontal="left" vertical="justify" wrapText="1"/>
    </xf>
    <xf numFmtId="0" fontId="12" fillId="0" borderId="20" xfId="2" applyFont="1" applyFill="1" applyBorder="1" applyAlignment="1">
      <alignment horizontal="left" vertical="justify" wrapText="1"/>
    </xf>
    <xf numFmtId="0" fontId="14" fillId="0" borderId="10" xfId="2" applyFont="1" applyFill="1" applyBorder="1" applyAlignment="1">
      <alignment horizontal="left" vertical="justify" wrapText="1"/>
    </xf>
    <xf numFmtId="0" fontId="14" fillId="0" borderId="12" xfId="2" applyFont="1" applyFill="1" applyBorder="1" applyAlignment="1">
      <alignment horizontal="left" vertical="justify" wrapText="1"/>
    </xf>
    <xf numFmtId="0" fontId="23" fillId="0" borderId="10" xfId="2" applyFont="1" applyFill="1" applyBorder="1" applyAlignment="1">
      <alignment horizontal="left" vertical="justify" wrapText="1"/>
    </xf>
    <xf numFmtId="0" fontId="23" fillId="0" borderId="2" xfId="2" applyFont="1" applyFill="1" applyBorder="1" applyAlignment="1">
      <alignment horizontal="left" vertical="justify" wrapText="1"/>
    </xf>
    <xf numFmtId="0" fontId="14" fillId="0" borderId="2" xfId="2" applyFont="1" applyFill="1" applyBorder="1" applyAlignment="1">
      <alignment horizontal="left" vertical="justify" wrapText="1"/>
    </xf>
    <xf numFmtId="0" fontId="23" fillId="0" borderId="17" xfId="2" applyFont="1" applyFill="1" applyBorder="1" applyAlignment="1">
      <alignment horizontal="left" vertical="justify" wrapText="1"/>
    </xf>
    <xf numFmtId="0" fontId="23" fillId="0" borderId="21" xfId="2" applyFont="1" applyFill="1" applyBorder="1" applyAlignment="1">
      <alignment horizontal="left" vertical="justify" wrapText="1"/>
    </xf>
    <xf numFmtId="167" fontId="3" fillId="0" borderId="11" xfId="7" applyNumberFormat="1" applyFont="1" applyFill="1" applyBorder="1" applyAlignment="1" applyProtection="1">
      <alignment horizontal="center" vertical="center"/>
      <protection locked="0"/>
    </xf>
  </cellXfs>
  <cellStyles count="9">
    <cellStyle name="Dezimal 2" xfId="1"/>
    <cellStyle name="Dezimal 2 2" xfId="3"/>
    <cellStyle name="Normal" xfId="0" builtinId="0"/>
    <cellStyle name="Normal 2" xfId="4"/>
    <cellStyle name="Normal 3" xfId="5"/>
    <cellStyle name="Normal 4" xfId="7"/>
    <cellStyle name="Standard 2" xfId="2"/>
    <cellStyle name="Tusental 2" xfId="6"/>
    <cellStyle name="Tusental 3" xfId="8"/>
  </cellStyles>
  <dxfs count="8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D12" sqref="D12"/>
    </sheetView>
  </sheetViews>
  <sheetFormatPr defaultRowHeight="12.75"/>
  <cols>
    <col min="1" max="18" width="15.7109375" style="11" customWidth="1"/>
    <col min="19" max="16384" width="9.140625" style="11"/>
  </cols>
  <sheetData>
    <row r="1" spans="1:8" ht="20.25">
      <c r="A1" s="10" t="s">
        <v>49</v>
      </c>
    </row>
    <row r="2" spans="1:8" ht="15">
      <c r="A2" s="68" t="s">
        <v>66</v>
      </c>
    </row>
    <row r="3" spans="1:8" ht="15">
      <c r="A3" s="68"/>
    </row>
    <row r="4" spans="1:8">
      <c r="B4" s="114" t="s">
        <v>94</v>
      </c>
      <c r="C4" s="114" t="s">
        <v>75</v>
      </c>
      <c r="D4" s="115"/>
      <c r="E4" s="115"/>
      <c r="F4" s="115"/>
      <c r="G4" s="115"/>
      <c r="H4" s="115"/>
    </row>
    <row r="5" spans="1:8" ht="25.5">
      <c r="A5" s="116" t="s">
        <v>95</v>
      </c>
      <c r="B5" s="117" t="s">
        <v>76</v>
      </c>
      <c r="C5" s="117" t="s">
        <v>93</v>
      </c>
      <c r="D5" s="118"/>
      <c r="E5" s="118"/>
      <c r="F5" s="118"/>
      <c r="G5" s="118"/>
      <c r="H5" s="118"/>
    </row>
    <row r="6" spans="1:8">
      <c r="A6" s="116"/>
      <c r="B6" s="119"/>
      <c r="C6" s="119"/>
      <c r="D6" s="118"/>
      <c r="E6" s="118"/>
      <c r="F6" s="118"/>
      <c r="G6" s="118"/>
      <c r="H6" s="118"/>
    </row>
    <row r="7" spans="1:8" ht="26.25" customHeight="1">
      <c r="A7" s="116" t="s">
        <v>73</v>
      </c>
      <c r="B7" s="117" t="s">
        <v>77</v>
      </c>
      <c r="C7" s="117" t="s">
        <v>93</v>
      </c>
      <c r="D7" s="118"/>
      <c r="E7" s="118"/>
      <c r="F7" s="118"/>
      <c r="G7" s="118"/>
      <c r="H7" s="118"/>
    </row>
    <row r="8" spans="1:8">
      <c r="A8" s="116"/>
      <c r="B8" s="119"/>
      <c r="C8" s="119"/>
      <c r="D8" s="118"/>
      <c r="E8" s="118"/>
      <c r="F8" s="118"/>
      <c r="G8" s="118"/>
      <c r="H8" s="118"/>
    </row>
    <row r="9" spans="1:8" ht="27" customHeight="1">
      <c r="A9" s="116" t="s">
        <v>74</v>
      </c>
      <c r="B9" s="117" t="s">
        <v>78</v>
      </c>
      <c r="C9" s="117" t="s">
        <v>93</v>
      </c>
      <c r="D9" s="118"/>
      <c r="E9" s="118"/>
      <c r="F9" s="118"/>
      <c r="G9" s="118"/>
      <c r="H9" s="1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showZeros="0" view="pageLayout" topLeftCell="A16" zoomScaleNormal="120" workbookViewId="0">
      <selection activeCell="K22" sqref="K22"/>
    </sheetView>
  </sheetViews>
  <sheetFormatPr defaultColWidth="9" defaultRowHeight="12.75"/>
  <cols>
    <col min="1" max="2" width="8.7109375" style="12" customWidth="1"/>
    <col min="3" max="10" width="7.5703125" style="12" customWidth="1"/>
    <col min="11" max="11" width="8.5703125" style="12" customWidth="1"/>
    <col min="12" max="12" width="7.7109375" style="12" customWidth="1"/>
    <col min="13" max="16384" width="9" style="12"/>
  </cols>
  <sheetData>
    <row r="1" spans="1:11" ht="6" customHeight="1" thickBot="1"/>
    <row r="2" spans="1:11" ht="24" customHeight="1" thickBot="1">
      <c r="A2" s="13" t="s">
        <v>65</v>
      </c>
      <c r="G2" s="14"/>
      <c r="H2" s="15" t="s">
        <v>47</v>
      </c>
      <c r="I2" s="16"/>
      <c r="J2" s="17"/>
      <c r="K2" s="17"/>
    </row>
    <row r="3" spans="1:11" ht="21.75" customHeight="1" thickBot="1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>
      <c r="A4" s="19" t="s">
        <v>9</v>
      </c>
      <c r="B4" s="19"/>
      <c r="C4" s="20"/>
      <c r="D4" s="20"/>
      <c r="E4" s="20"/>
      <c r="G4" s="14"/>
      <c r="H4" s="15" t="s">
        <v>43</v>
      </c>
      <c r="I4" s="16"/>
      <c r="J4" s="17"/>
      <c r="K4" s="17"/>
    </row>
    <row r="5" spans="1:11" ht="17.25" customHeight="1" thickBot="1">
      <c r="A5" s="21" t="s">
        <v>10</v>
      </c>
      <c r="B5" s="21"/>
      <c r="C5" s="159"/>
      <c r="D5" s="159"/>
      <c r="E5" s="159"/>
      <c r="G5" s="14"/>
      <c r="H5" s="15" t="s">
        <v>8</v>
      </c>
      <c r="I5" s="22"/>
      <c r="J5" s="17"/>
      <c r="K5" s="17"/>
    </row>
    <row r="6" spans="1:11" ht="17.25" customHeight="1">
      <c r="A6" s="12" t="s">
        <v>46</v>
      </c>
      <c r="G6" s="12" t="s">
        <v>13</v>
      </c>
    </row>
    <row r="7" spans="1:11" ht="17.100000000000001" customHeight="1">
      <c r="A7" s="21" t="s">
        <v>11</v>
      </c>
      <c r="B7" s="21"/>
      <c r="C7" s="159"/>
      <c r="D7" s="159"/>
      <c r="E7" s="159"/>
      <c r="G7" s="23" t="s">
        <v>0</v>
      </c>
      <c r="H7" s="162"/>
      <c r="I7" s="163"/>
      <c r="J7" s="163"/>
      <c r="K7" s="163"/>
    </row>
    <row r="8" spans="1:11" ht="17.100000000000001" customHeight="1">
      <c r="A8" s="19" t="s">
        <v>6</v>
      </c>
      <c r="B8" s="19"/>
      <c r="C8" s="164"/>
      <c r="D8" s="164"/>
      <c r="E8" s="164"/>
      <c r="G8" s="26" t="s">
        <v>1</v>
      </c>
      <c r="H8" s="160"/>
      <c r="I8" s="161"/>
      <c r="J8" s="161"/>
      <c r="K8" s="161"/>
    </row>
    <row r="9" spans="1:11" ht="17.100000000000001" customHeight="1">
      <c r="A9" s="21" t="s">
        <v>12</v>
      </c>
      <c r="B9" s="21"/>
      <c r="C9" s="159"/>
      <c r="D9" s="159"/>
      <c r="E9" s="159"/>
      <c r="G9" s="26" t="s">
        <v>2</v>
      </c>
      <c r="H9" s="160"/>
      <c r="I9" s="161"/>
      <c r="J9" s="161"/>
      <c r="K9" s="161"/>
    </row>
    <row r="10" spans="1:11" ht="17.100000000000001" customHeight="1">
      <c r="A10" s="21" t="s">
        <v>44</v>
      </c>
      <c r="B10" s="21"/>
      <c r="C10" s="159"/>
      <c r="D10" s="159"/>
      <c r="E10" s="159"/>
      <c r="G10" s="26" t="s">
        <v>3</v>
      </c>
      <c r="H10" s="160"/>
      <c r="I10" s="161"/>
      <c r="J10" s="161"/>
      <c r="K10" s="161"/>
    </row>
    <row r="11" spans="1:11" ht="17.100000000000001" customHeight="1">
      <c r="G11" s="26" t="s">
        <v>4</v>
      </c>
      <c r="H11" s="160"/>
      <c r="I11" s="161"/>
      <c r="J11" s="161"/>
      <c r="K11" s="161"/>
    </row>
    <row r="12" spans="1:11" ht="17.100000000000001" customHeight="1">
      <c r="C12" s="28"/>
      <c r="G12" s="26" t="s">
        <v>5</v>
      </c>
      <c r="H12" s="160"/>
      <c r="I12" s="161"/>
      <c r="J12" s="161"/>
      <c r="K12" s="161"/>
    </row>
    <row r="13" spans="1:11" ht="10.5" customHeight="1">
      <c r="A13" s="29"/>
      <c r="B13" s="30"/>
    </row>
    <row r="14" spans="1:11" s="1" customFormat="1" ht="15.75" customHeight="1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20.100000000000001" customHeight="1">
      <c r="A15" s="123" t="s">
        <v>26</v>
      </c>
      <c r="B15" s="124"/>
      <c r="C15" s="124"/>
      <c r="D15" s="3"/>
      <c r="E15" s="4"/>
      <c r="F15" s="4"/>
      <c r="G15" s="4"/>
      <c r="H15" s="4"/>
      <c r="I15" s="4"/>
      <c r="J15" s="4"/>
      <c r="K15" s="4">
        <f t="shared" ref="K15:K20" si="0">SUM(E15:J15)</f>
        <v>0</v>
      </c>
    </row>
    <row r="16" spans="1:11" s="1" customFormat="1" ht="20.100000000000001" customHeight="1">
      <c r="A16" s="123" t="s">
        <v>27</v>
      </c>
      <c r="B16" s="124"/>
      <c r="C16" s="124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20.100000000000001" customHeight="1">
      <c r="A17" s="125" t="s">
        <v>28</v>
      </c>
      <c r="B17" s="124"/>
      <c r="C17" s="124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20.100000000000001" customHeight="1">
      <c r="A18" s="123" t="s">
        <v>30</v>
      </c>
      <c r="B18" s="124"/>
      <c r="C18" s="124"/>
      <c r="D18" s="126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20.100000000000001" customHeight="1">
      <c r="A19" s="123" t="s">
        <v>29</v>
      </c>
      <c r="B19" s="124"/>
      <c r="C19" s="124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20.100000000000001" customHeight="1">
      <c r="A20" s="127" t="s">
        <v>31</v>
      </c>
      <c r="B20" s="128"/>
      <c r="C20" s="128"/>
      <c r="D20" s="129"/>
      <c r="E20" s="4"/>
      <c r="F20" s="4"/>
      <c r="G20" s="4"/>
      <c r="H20" s="4"/>
      <c r="I20" s="4"/>
      <c r="J20" s="4"/>
      <c r="K20" s="4">
        <f t="shared" si="0"/>
        <v>0</v>
      </c>
    </row>
    <row r="21" spans="1:11" s="1" customFormat="1" ht="15.75" customHeight="1" thickBot="1">
      <c r="B21" s="65"/>
      <c r="C21" s="65"/>
      <c r="D21" s="65"/>
      <c r="E21" s="65"/>
      <c r="F21" s="66"/>
      <c r="G21" s="67"/>
      <c r="H21" s="12"/>
      <c r="I21" s="12"/>
      <c r="J21" s="35" t="s">
        <v>33</v>
      </c>
      <c r="K21" s="31">
        <f>SUM(K15:K20)</f>
        <v>0</v>
      </c>
    </row>
    <row r="22" spans="1:11" ht="13.5" thickBot="1">
      <c r="A22" s="32" t="s">
        <v>32</v>
      </c>
      <c r="B22" s="33"/>
      <c r="C22" s="33"/>
      <c r="D22" s="33"/>
      <c r="E22" s="33"/>
      <c r="F22" s="34"/>
      <c r="H22" s="35" t="s">
        <v>51</v>
      </c>
      <c r="I22" s="37"/>
      <c r="J22" s="38" t="s">
        <v>52</v>
      </c>
      <c r="K22" s="39">
        <f>IFERROR(+K21/I22,0)</f>
        <v>0</v>
      </c>
    </row>
    <row r="23" spans="1:11" ht="8.25" customHeight="1">
      <c r="A23" s="34"/>
      <c r="E23" s="36"/>
    </row>
    <row r="24" spans="1:11" ht="11.25" customHeight="1">
      <c r="A24" s="40"/>
      <c r="B24" s="19"/>
      <c r="C24" s="19"/>
      <c r="D24" s="19"/>
      <c r="E24" s="19"/>
      <c r="F24" s="34"/>
      <c r="J24" s="41"/>
    </row>
    <row r="25" spans="1:11" ht="12.75" customHeight="1" thickBot="1">
      <c r="K25" s="35" t="s">
        <v>53</v>
      </c>
    </row>
    <row r="26" spans="1:11" ht="15" thickBot="1">
      <c r="H26" s="42" t="s">
        <v>35</v>
      </c>
      <c r="I26" s="43"/>
      <c r="J26" s="44"/>
      <c r="K26" s="45">
        <f>IFERROR(+K22/6,0)</f>
        <v>0</v>
      </c>
    </row>
    <row r="27" spans="1:11">
      <c r="E27" s="46"/>
      <c r="G27" s="47"/>
      <c r="H27" s="47"/>
      <c r="I27" s="48"/>
      <c r="J27" s="35"/>
      <c r="K27" s="49"/>
    </row>
    <row r="28" spans="1:11" ht="15">
      <c r="A28" s="50" t="s">
        <v>54</v>
      </c>
      <c r="B28" s="6"/>
      <c r="C28" s="6"/>
      <c r="D28" s="6"/>
      <c r="E28" s="6"/>
      <c r="F28" s="6"/>
      <c r="G28" s="154" t="s">
        <v>32</v>
      </c>
      <c r="H28" s="155"/>
      <c r="I28" s="156" t="s">
        <v>45</v>
      </c>
      <c r="J28" s="157"/>
      <c r="K28" s="158"/>
    </row>
    <row r="29" spans="1:11">
      <c r="A29" s="130" t="s">
        <v>55</v>
      </c>
      <c r="B29" s="141" t="s">
        <v>15</v>
      </c>
      <c r="C29" s="141" t="s">
        <v>14</v>
      </c>
      <c r="D29" s="141"/>
      <c r="E29" s="203" t="s">
        <v>18</v>
      </c>
      <c r="F29" s="204"/>
      <c r="G29" s="149"/>
      <c r="H29" s="150"/>
      <c r="I29" s="151">
        <v>0.2</v>
      </c>
      <c r="J29" s="143"/>
      <c r="K29" s="145">
        <f>J29*0.2</f>
        <v>0</v>
      </c>
    </row>
    <row r="30" spans="1:11" ht="46.5" customHeight="1">
      <c r="A30" s="140"/>
      <c r="B30" s="141"/>
      <c r="C30" s="141" t="s">
        <v>16</v>
      </c>
      <c r="D30" s="141"/>
      <c r="E30" s="205" t="s">
        <v>24</v>
      </c>
      <c r="F30" s="206"/>
      <c r="G30" s="135"/>
      <c r="H30" s="136"/>
      <c r="I30" s="152"/>
      <c r="J30" s="143"/>
      <c r="K30" s="145"/>
    </row>
    <row r="31" spans="1:11" ht="35.25" customHeight="1">
      <c r="A31" s="131"/>
      <c r="B31" s="142"/>
      <c r="C31" s="142" t="s">
        <v>17</v>
      </c>
      <c r="D31" s="142"/>
      <c r="E31" s="205" t="s">
        <v>56</v>
      </c>
      <c r="F31" s="206"/>
      <c r="G31" s="147"/>
      <c r="H31" s="148"/>
      <c r="I31" s="153"/>
      <c r="J31" s="144"/>
      <c r="K31" s="146"/>
    </row>
    <row r="32" spans="1:11" ht="23.25" customHeight="1">
      <c r="A32" s="130" t="s">
        <v>57</v>
      </c>
      <c r="B32" s="132" t="s">
        <v>58</v>
      </c>
      <c r="C32" s="133"/>
      <c r="D32" s="134"/>
      <c r="E32" s="207" t="s">
        <v>59</v>
      </c>
      <c r="F32" s="208"/>
      <c r="G32" s="135"/>
      <c r="H32" s="136"/>
      <c r="I32" s="51">
        <v>0.4</v>
      </c>
      <c r="J32" s="74"/>
      <c r="K32" s="75">
        <f>J32*0.4</f>
        <v>0</v>
      </c>
    </row>
    <row r="33" spans="1:11" ht="66.75" customHeight="1" thickBot="1">
      <c r="A33" s="131"/>
      <c r="B33" s="137" t="s">
        <v>19</v>
      </c>
      <c r="C33" s="138"/>
      <c r="D33" s="139"/>
      <c r="E33" s="209" t="s">
        <v>23</v>
      </c>
      <c r="F33" s="210"/>
      <c r="G33" s="135"/>
      <c r="H33" s="136"/>
      <c r="I33" s="51">
        <v>0.4</v>
      </c>
      <c r="J33" s="74"/>
      <c r="K33" s="75">
        <f>J33*0.4</f>
        <v>0</v>
      </c>
    </row>
    <row r="34" spans="1:11" ht="13.5" thickBot="1">
      <c r="A34" s="52" t="s">
        <v>42</v>
      </c>
      <c r="B34" s="120" t="s">
        <v>60</v>
      </c>
      <c r="C34" s="121"/>
      <c r="D34" s="121"/>
      <c r="E34" s="121"/>
      <c r="F34" s="121"/>
      <c r="G34" s="121"/>
      <c r="H34" s="121"/>
      <c r="I34" s="122"/>
      <c r="J34" s="53"/>
      <c r="K34" s="54"/>
    </row>
    <row r="35" spans="1:11" ht="18" customHeight="1" thickBot="1">
      <c r="A35" s="55"/>
      <c r="B35" s="55"/>
      <c r="C35" s="55"/>
      <c r="D35" s="55"/>
      <c r="E35" s="55"/>
      <c r="F35" s="55"/>
      <c r="G35" s="38"/>
      <c r="H35" s="38"/>
      <c r="I35" s="56"/>
      <c r="J35" s="57" t="s">
        <v>7</v>
      </c>
      <c r="K35" s="58"/>
    </row>
    <row r="36" spans="1:11" ht="18" customHeight="1" thickBot="1">
      <c r="A36" s="55"/>
      <c r="B36" s="55"/>
      <c r="C36" s="55"/>
      <c r="D36" s="55"/>
      <c r="E36" s="55"/>
      <c r="F36" s="55"/>
      <c r="G36" s="38"/>
      <c r="H36" s="38"/>
      <c r="I36" s="59"/>
      <c r="J36" s="60" t="s">
        <v>61</v>
      </c>
      <c r="K36" s="58"/>
    </row>
    <row r="37" spans="1:11" ht="18" customHeight="1" thickBot="1">
      <c r="A37" s="55"/>
      <c r="B37" s="55"/>
      <c r="C37" s="55"/>
      <c r="D37" s="55"/>
      <c r="E37" s="55"/>
      <c r="F37" s="55"/>
      <c r="G37" s="38"/>
      <c r="H37" s="38"/>
      <c r="I37" s="59" t="s">
        <v>62</v>
      </c>
      <c r="J37" s="60"/>
      <c r="K37" s="58">
        <f>K22+K36</f>
        <v>0</v>
      </c>
    </row>
    <row r="38" spans="1:11" ht="18" customHeight="1" thickBot="1">
      <c r="E38" s="46"/>
      <c r="G38" s="47"/>
      <c r="H38" s="61"/>
      <c r="I38" s="57" t="s">
        <v>63</v>
      </c>
      <c r="J38" s="62" t="s">
        <v>64</v>
      </c>
      <c r="K38" s="211">
        <f>K37/8</f>
        <v>0</v>
      </c>
    </row>
    <row r="39" spans="1:11" ht="9.75" customHeight="1"/>
    <row r="40" spans="1:11">
      <c r="A40" s="19" t="s">
        <v>21</v>
      </c>
      <c r="B40" s="63"/>
      <c r="C40" s="63"/>
      <c r="D40" s="63"/>
      <c r="E40" s="64"/>
      <c r="G40" s="19" t="s">
        <v>22</v>
      </c>
      <c r="H40" s="19"/>
      <c r="I40" s="19"/>
      <c r="J40" s="19"/>
      <c r="K40" s="19"/>
    </row>
    <row r="41" spans="1:11" ht="9" customHeight="1">
      <c r="E41" s="46"/>
      <c r="G41" s="47"/>
      <c r="H41" s="47"/>
      <c r="I41" s="48"/>
      <c r="J41" s="35"/>
      <c r="K41" s="49"/>
    </row>
    <row r="46" spans="1:11" ht="12" customHeight="1"/>
    <row r="47" spans="1:11" ht="13.5" customHeight="1"/>
  </sheetData>
  <mergeCells count="41">
    <mergeCell ref="C9:E9"/>
    <mergeCell ref="H9:K9"/>
    <mergeCell ref="C5:E5"/>
    <mergeCell ref="C7:E7"/>
    <mergeCell ref="H7:K7"/>
    <mergeCell ref="C8:E8"/>
    <mergeCell ref="H8:K8"/>
    <mergeCell ref="G28:H28"/>
    <mergeCell ref="I28:K28"/>
    <mergeCell ref="C10:E10"/>
    <mergeCell ref="H10:K10"/>
    <mergeCell ref="H11:K11"/>
    <mergeCell ref="H12:K12"/>
    <mergeCell ref="J29:J31"/>
    <mergeCell ref="K29:K31"/>
    <mergeCell ref="C30:D30"/>
    <mergeCell ref="E30:F30"/>
    <mergeCell ref="G30:H30"/>
    <mergeCell ref="C31:D31"/>
    <mergeCell ref="E31:F31"/>
    <mergeCell ref="G31:H31"/>
    <mergeCell ref="C29:D29"/>
    <mergeCell ref="E29:F29"/>
    <mergeCell ref="G29:H29"/>
    <mergeCell ref="I29:I31"/>
    <mergeCell ref="B34:I34"/>
    <mergeCell ref="A15:C15"/>
    <mergeCell ref="A16:C16"/>
    <mergeCell ref="A17:C17"/>
    <mergeCell ref="A18:D18"/>
    <mergeCell ref="A19:C19"/>
    <mergeCell ref="A20:D20"/>
    <mergeCell ref="A32:A33"/>
    <mergeCell ref="B32:D32"/>
    <mergeCell ref="E32:F32"/>
    <mergeCell ref="G32:H32"/>
    <mergeCell ref="B33:D33"/>
    <mergeCell ref="E33:F33"/>
    <mergeCell ref="G33:H33"/>
    <mergeCell ref="A29:A31"/>
    <mergeCell ref="B29:B31"/>
  </mergeCells>
  <conditionalFormatting sqref="K29:K37">
    <cfRule type="cellIs" dxfId="7" priority="2" operator="equal">
      <formula>0</formula>
    </cfRule>
  </conditionalFormatting>
  <conditionalFormatting sqref="J29:J34 K29:K37">
    <cfRule type="cellIs" dxfId="6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MELLANKLASS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showZeros="0" view="pageLayout" topLeftCell="A16" zoomScaleNormal="120" workbookViewId="0">
      <selection activeCell="K28" sqref="K28:K36"/>
    </sheetView>
  </sheetViews>
  <sheetFormatPr defaultColWidth="9" defaultRowHeight="12.75"/>
  <cols>
    <col min="1" max="2" width="8.7109375" style="12" customWidth="1"/>
    <col min="3" max="7" width="7.5703125" style="12" customWidth="1"/>
    <col min="8" max="8" width="7.28515625" style="12" customWidth="1"/>
    <col min="9" max="9" width="7.140625" style="12" customWidth="1"/>
    <col min="10" max="10" width="7" style="12" customWidth="1"/>
    <col min="11" max="11" width="9.85546875" style="12" customWidth="1"/>
    <col min="12" max="12" width="7.7109375" style="12" customWidth="1"/>
    <col min="13" max="16384" width="9" style="12"/>
  </cols>
  <sheetData>
    <row r="1" spans="1:11" ht="6" customHeight="1" thickBot="1"/>
    <row r="2" spans="1:11" ht="24" customHeight="1" thickBot="1">
      <c r="A2" s="13" t="s">
        <v>70</v>
      </c>
      <c r="G2" s="14"/>
      <c r="H2" s="15" t="s">
        <v>47</v>
      </c>
      <c r="I2" s="16"/>
      <c r="J2" s="17"/>
      <c r="K2" s="17"/>
    </row>
    <row r="3" spans="1:11" ht="21.75" customHeight="1" thickBot="1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>
      <c r="A5" s="21" t="s">
        <v>10</v>
      </c>
      <c r="B5" s="21"/>
      <c r="C5" s="159"/>
      <c r="D5" s="159"/>
      <c r="E5" s="159"/>
      <c r="G5" s="14"/>
      <c r="H5" s="15" t="s">
        <v>8</v>
      </c>
      <c r="I5" s="22"/>
      <c r="J5" s="17"/>
      <c r="K5" s="17"/>
    </row>
    <row r="6" spans="1:11" ht="17.25" customHeight="1">
      <c r="A6" s="12" t="s">
        <v>46</v>
      </c>
      <c r="G6" s="12" t="s">
        <v>13</v>
      </c>
    </row>
    <row r="7" spans="1:11" ht="17.100000000000001" customHeight="1">
      <c r="A7" s="21" t="s">
        <v>11</v>
      </c>
      <c r="B7" s="21"/>
      <c r="C7" s="159"/>
      <c r="D7" s="159"/>
      <c r="E7" s="159"/>
      <c r="G7" s="24" t="s">
        <v>0</v>
      </c>
      <c r="H7" s="162"/>
      <c r="I7" s="163"/>
      <c r="J7" s="163"/>
      <c r="K7" s="163"/>
    </row>
    <row r="8" spans="1:11" ht="17.100000000000001" customHeight="1">
      <c r="A8" s="19" t="s">
        <v>6</v>
      </c>
      <c r="B8" s="19"/>
      <c r="C8" s="164"/>
      <c r="D8" s="164"/>
      <c r="E8" s="164"/>
      <c r="G8" s="27" t="s">
        <v>1</v>
      </c>
      <c r="H8" s="160"/>
      <c r="I8" s="161"/>
      <c r="J8" s="161"/>
      <c r="K8" s="161"/>
    </row>
    <row r="9" spans="1:11" ht="17.100000000000001" customHeight="1">
      <c r="A9" s="21" t="s">
        <v>12</v>
      </c>
      <c r="B9" s="21"/>
      <c r="C9" s="159"/>
      <c r="D9" s="159"/>
      <c r="E9" s="159"/>
      <c r="G9" s="27" t="s">
        <v>2</v>
      </c>
      <c r="H9" s="160"/>
      <c r="I9" s="161"/>
      <c r="J9" s="161"/>
      <c r="K9" s="161"/>
    </row>
    <row r="10" spans="1:11" ht="17.100000000000001" customHeight="1">
      <c r="A10" s="21" t="s">
        <v>44</v>
      </c>
      <c r="B10" s="21"/>
      <c r="C10" s="159"/>
      <c r="D10" s="159"/>
      <c r="E10" s="159"/>
      <c r="G10" s="27" t="s">
        <v>3</v>
      </c>
      <c r="H10" s="160"/>
      <c r="I10" s="161"/>
      <c r="J10" s="161"/>
      <c r="K10" s="161"/>
    </row>
    <row r="11" spans="1:11" ht="17.100000000000001" customHeight="1">
      <c r="G11" s="27" t="s">
        <v>4</v>
      </c>
      <c r="H11" s="160"/>
      <c r="I11" s="161"/>
      <c r="J11" s="161"/>
      <c r="K11" s="161"/>
    </row>
    <row r="12" spans="1:11" ht="17.100000000000001" customHeight="1">
      <c r="C12" s="28"/>
      <c r="G12" s="27" t="s">
        <v>5</v>
      </c>
      <c r="H12" s="160"/>
      <c r="I12" s="161"/>
      <c r="J12" s="161"/>
      <c r="K12" s="161"/>
    </row>
    <row r="13" spans="1:11" ht="10.5" customHeight="1">
      <c r="A13" s="29"/>
      <c r="B13" s="30"/>
    </row>
    <row r="14" spans="1:11" s="1" customFormat="1" ht="15.75" customHeight="1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>
      <c r="A15" s="123" t="s">
        <v>26</v>
      </c>
      <c r="B15" s="124"/>
      <c r="C15" s="124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7.25" customHeight="1">
      <c r="A16" s="123" t="s">
        <v>27</v>
      </c>
      <c r="B16" s="124"/>
      <c r="C16" s="124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6.5" customHeight="1">
      <c r="A17" s="125" t="s">
        <v>36</v>
      </c>
      <c r="B17" s="124"/>
      <c r="C17" s="124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>
      <c r="A18" s="165" t="s">
        <v>37</v>
      </c>
      <c r="B18" s="166"/>
      <c r="C18" s="166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7.25" customHeight="1">
      <c r="A19" s="123" t="s">
        <v>38</v>
      </c>
      <c r="B19" s="124"/>
      <c r="C19" s="124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s="1" customFormat="1" ht="18" customHeight="1">
      <c r="A20" s="9" t="s">
        <v>28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7.25" customHeight="1">
      <c r="A21" s="127" t="s">
        <v>39</v>
      </c>
      <c r="B21" s="167"/>
      <c r="C21" s="167"/>
      <c r="D21" s="7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>
      <c r="A22" s="33"/>
      <c r="B22" s="33"/>
      <c r="C22" s="33"/>
      <c r="D22" s="33"/>
      <c r="E22" s="33"/>
      <c r="K22" s="69">
        <f>SUM(K15:K21)</f>
        <v>0</v>
      </c>
    </row>
    <row r="23" spans="1:11" ht="18.75" customHeight="1">
      <c r="J23" s="70" t="s">
        <v>67</v>
      </c>
      <c r="K23" s="71">
        <f>IFERROR(K22/6,0)</f>
        <v>0</v>
      </c>
    </row>
    <row r="24" spans="1:11" ht="12.75" customHeight="1" thickBot="1">
      <c r="K24" s="35" t="s">
        <v>34</v>
      </c>
    </row>
    <row r="25" spans="1:11" ht="15" thickBot="1">
      <c r="H25" s="42" t="s">
        <v>35</v>
      </c>
      <c r="I25" s="43"/>
      <c r="J25" s="44"/>
      <c r="K25" s="45">
        <f>IFERROR(K23/7,0)</f>
        <v>0</v>
      </c>
    </row>
    <row r="26" spans="1:11" ht="9" customHeight="1">
      <c r="E26" s="46"/>
      <c r="G26" s="47"/>
      <c r="H26" s="47"/>
      <c r="I26" s="48"/>
      <c r="J26" s="35"/>
      <c r="K26" s="49"/>
    </row>
    <row r="27" spans="1:11" ht="15">
      <c r="A27" s="50" t="s">
        <v>54</v>
      </c>
      <c r="B27" s="6"/>
      <c r="C27" s="6"/>
      <c r="D27" s="6"/>
      <c r="E27" s="6"/>
      <c r="F27" s="6"/>
      <c r="G27" s="154" t="s">
        <v>32</v>
      </c>
      <c r="H27" s="155"/>
      <c r="I27" s="156" t="s">
        <v>45</v>
      </c>
      <c r="J27" s="157"/>
      <c r="K27" s="158"/>
    </row>
    <row r="28" spans="1:11">
      <c r="A28" s="130" t="s">
        <v>55</v>
      </c>
      <c r="B28" s="141" t="s">
        <v>15</v>
      </c>
      <c r="C28" s="141" t="s">
        <v>14</v>
      </c>
      <c r="D28" s="141"/>
      <c r="E28" s="203" t="s">
        <v>18</v>
      </c>
      <c r="F28" s="204"/>
      <c r="G28" s="149"/>
      <c r="H28" s="150"/>
      <c r="I28" s="151">
        <v>0.2</v>
      </c>
      <c r="J28" s="143"/>
      <c r="K28" s="145">
        <f>J28*0.2</f>
        <v>0</v>
      </c>
    </row>
    <row r="29" spans="1:11" ht="46.5" customHeight="1">
      <c r="A29" s="140"/>
      <c r="B29" s="141"/>
      <c r="C29" s="141" t="s">
        <v>16</v>
      </c>
      <c r="D29" s="141"/>
      <c r="E29" s="205" t="s">
        <v>24</v>
      </c>
      <c r="F29" s="206"/>
      <c r="G29" s="135"/>
      <c r="H29" s="136"/>
      <c r="I29" s="152"/>
      <c r="J29" s="143"/>
      <c r="K29" s="145"/>
    </row>
    <row r="30" spans="1:11" ht="35.25" customHeight="1">
      <c r="A30" s="131"/>
      <c r="B30" s="142"/>
      <c r="C30" s="142" t="s">
        <v>17</v>
      </c>
      <c r="D30" s="142"/>
      <c r="E30" s="205" t="s">
        <v>56</v>
      </c>
      <c r="F30" s="206"/>
      <c r="G30" s="147"/>
      <c r="H30" s="148"/>
      <c r="I30" s="153"/>
      <c r="J30" s="144"/>
      <c r="K30" s="146"/>
    </row>
    <row r="31" spans="1:11" ht="23.25" customHeight="1">
      <c r="A31" s="130" t="s">
        <v>57</v>
      </c>
      <c r="B31" s="132" t="s">
        <v>58</v>
      </c>
      <c r="C31" s="133"/>
      <c r="D31" s="134"/>
      <c r="E31" s="207" t="s">
        <v>59</v>
      </c>
      <c r="F31" s="208"/>
      <c r="G31" s="135"/>
      <c r="H31" s="136"/>
      <c r="I31" s="51">
        <v>0.4</v>
      </c>
      <c r="J31" s="74"/>
      <c r="K31" s="75">
        <f>J31*0.4</f>
        <v>0</v>
      </c>
    </row>
    <row r="32" spans="1:11" ht="66.75" customHeight="1" thickBot="1">
      <c r="A32" s="131"/>
      <c r="B32" s="137" t="s">
        <v>19</v>
      </c>
      <c r="C32" s="138"/>
      <c r="D32" s="139"/>
      <c r="E32" s="209" t="s">
        <v>23</v>
      </c>
      <c r="F32" s="210"/>
      <c r="G32" s="135"/>
      <c r="H32" s="136"/>
      <c r="I32" s="51">
        <v>0.4</v>
      </c>
      <c r="J32" s="74"/>
      <c r="K32" s="75">
        <f>J32*0.4</f>
        <v>0</v>
      </c>
    </row>
    <row r="33" spans="1:11" ht="13.5" thickBot="1">
      <c r="A33" s="52" t="s">
        <v>42</v>
      </c>
      <c r="B33" s="120" t="s">
        <v>60</v>
      </c>
      <c r="C33" s="121"/>
      <c r="D33" s="121"/>
      <c r="E33" s="121"/>
      <c r="F33" s="121"/>
      <c r="G33" s="121"/>
      <c r="H33" s="121"/>
      <c r="I33" s="122"/>
      <c r="J33" s="53"/>
      <c r="K33" s="54"/>
    </row>
    <row r="34" spans="1:11" ht="18" customHeight="1" thickBot="1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>
      <c r="A35" s="55"/>
      <c r="B35" s="55"/>
      <c r="C35" s="55"/>
      <c r="D35" s="55"/>
      <c r="E35" s="55"/>
      <c r="F35" s="55"/>
      <c r="G35" s="38"/>
      <c r="H35" s="38"/>
      <c r="I35" s="59" t="s">
        <v>68</v>
      </c>
      <c r="J35" s="60"/>
      <c r="K35" s="58">
        <f>IFERROR(3*K25+K34,0)</f>
        <v>0</v>
      </c>
    </row>
    <row r="36" spans="1:11" ht="18" customHeight="1" thickBot="1">
      <c r="E36" s="46"/>
      <c r="G36" s="47"/>
      <c r="H36" s="61"/>
      <c r="I36" s="57" t="s">
        <v>63</v>
      </c>
      <c r="J36" s="62" t="s">
        <v>69</v>
      </c>
      <c r="K36" s="211">
        <f>K35/4</f>
        <v>0</v>
      </c>
    </row>
    <row r="37" spans="1:11" ht="9.75" customHeight="1"/>
    <row r="38" spans="1:11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>
      <c r="E39" s="46"/>
      <c r="G39" s="47"/>
      <c r="H39" s="47"/>
      <c r="I39" s="48"/>
      <c r="J39" s="35"/>
      <c r="K39" s="49"/>
    </row>
    <row r="44" spans="1:11" ht="12" customHeight="1"/>
    <row r="45" spans="1:11" ht="13.5" customHeight="1"/>
  </sheetData>
  <mergeCells count="41">
    <mergeCell ref="B33:I33"/>
    <mergeCell ref="A17:C17"/>
    <mergeCell ref="A19:C19"/>
    <mergeCell ref="A21:C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A16:C16"/>
    <mergeCell ref="A18:C18"/>
    <mergeCell ref="G27:H27"/>
    <mergeCell ref="I27:K27"/>
    <mergeCell ref="C10:E10"/>
    <mergeCell ref="H10:K10"/>
    <mergeCell ref="H11:K11"/>
    <mergeCell ref="H12:K12"/>
    <mergeCell ref="A15:C15"/>
    <mergeCell ref="C9:E9"/>
    <mergeCell ref="H9:K9"/>
    <mergeCell ref="C5:E5"/>
    <mergeCell ref="C7:E7"/>
    <mergeCell ref="H7:K7"/>
    <mergeCell ref="C8:E8"/>
    <mergeCell ref="H8:K8"/>
  </mergeCells>
  <conditionalFormatting sqref="K28:K35">
    <cfRule type="cellIs" dxfId="5" priority="2" operator="equal">
      <formula>0</formula>
    </cfRule>
  </conditionalFormatting>
  <conditionalFormatting sqref="J28:J33 K28:K35">
    <cfRule type="cellIs" dxfId="4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showZeros="0" view="pageLayout" topLeftCell="A19" zoomScaleNormal="120" workbookViewId="0">
      <selection activeCell="K28" sqref="K28:K36"/>
    </sheetView>
  </sheetViews>
  <sheetFormatPr defaultColWidth="9" defaultRowHeight="12.75"/>
  <cols>
    <col min="1" max="2" width="8.7109375" style="12" customWidth="1"/>
    <col min="3" max="3" width="7.5703125" style="12" customWidth="1"/>
    <col min="4" max="4" width="7" style="12" customWidth="1"/>
    <col min="5" max="7" width="7.5703125" style="12" customWidth="1"/>
    <col min="8" max="8" width="7.28515625" style="12" customWidth="1"/>
    <col min="9" max="9" width="7.140625" style="12" customWidth="1"/>
    <col min="10" max="10" width="7" style="12" customWidth="1"/>
    <col min="11" max="11" width="9.85546875" style="12" customWidth="1"/>
    <col min="12" max="12" width="7.7109375" style="12" customWidth="1"/>
    <col min="13" max="16384" width="9" style="12"/>
  </cols>
  <sheetData>
    <row r="1" spans="1:11" ht="6" customHeight="1" thickBot="1"/>
    <row r="2" spans="1:11" ht="24" customHeight="1" thickBot="1">
      <c r="A2" s="13" t="s">
        <v>72</v>
      </c>
      <c r="G2" s="14"/>
      <c r="H2" s="15" t="s">
        <v>47</v>
      </c>
      <c r="I2" s="16"/>
      <c r="J2" s="17"/>
      <c r="K2" s="17"/>
    </row>
    <row r="3" spans="1:11" ht="21.75" customHeight="1" thickBot="1">
      <c r="A3" s="18" t="s">
        <v>50</v>
      </c>
      <c r="G3" s="14"/>
      <c r="H3" s="15" t="s">
        <v>48</v>
      </c>
      <c r="I3" s="16"/>
      <c r="J3" s="17"/>
      <c r="K3" s="17"/>
    </row>
    <row r="4" spans="1:11" ht="19.5" customHeight="1" thickBot="1">
      <c r="A4" s="19" t="s">
        <v>9</v>
      </c>
      <c r="B4" s="19"/>
      <c r="C4" s="25"/>
      <c r="D4" s="25"/>
      <c r="E4" s="25"/>
      <c r="G4" s="14"/>
      <c r="H4" s="15" t="s">
        <v>43</v>
      </c>
      <c r="I4" s="16"/>
      <c r="J4" s="17"/>
      <c r="K4" s="17"/>
    </row>
    <row r="5" spans="1:11" ht="17.25" customHeight="1" thickBot="1">
      <c r="A5" s="21" t="s">
        <v>10</v>
      </c>
      <c r="B5" s="21"/>
      <c r="C5" s="159"/>
      <c r="D5" s="159"/>
      <c r="E5" s="159"/>
      <c r="G5" s="14"/>
      <c r="H5" s="15" t="s">
        <v>8</v>
      </c>
      <c r="I5" s="22"/>
      <c r="J5" s="17"/>
      <c r="K5" s="17"/>
    </row>
    <row r="6" spans="1:11" ht="17.25" customHeight="1">
      <c r="A6" s="12" t="s">
        <v>46</v>
      </c>
      <c r="G6" s="12" t="s">
        <v>13</v>
      </c>
    </row>
    <row r="7" spans="1:11" ht="17.100000000000001" customHeight="1">
      <c r="A7" s="21" t="s">
        <v>11</v>
      </c>
      <c r="B7" s="21"/>
      <c r="C7" s="159"/>
      <c r="D7" s="159"/>
      <c r="E7" s="159"/>
      <c r="G7" s="24" t="s">
        <v>0</v>
      </c>
      <c r="H7" s="162"/>
      <c r="I7" s="163"/>
      <c r="J7" s="163"/>
      <c r="K7" s="163"/>
    </row>
    <row r="8" spans="1:11" ht="17.100000000000001" customHeight="1">
      <c r="A8" s="19" t="s">
        <v>6</v>
      </c>
      <c r="B8" s="19"/>
      <c r="C8" s="164"/>
      <c r="D8" s="164"/>
      <c r="E8" s="164"/>
      <c r="G8" s="27" t="s">
        <v>1</v>
      </c>
      <c r="H8" s="160"/>
      <c r="I8" s="161"/>
      <c r="J8" s="161"/>
      <c r="K8" s="161"/>
    </row>
    <row r="9" spans="1:11" ht="17.100000000000001" customHeight="1">
      <c r="A9" s="21" t="s">
        <v>12</v>
      </c>
      <c r="B9" s="21"/>
      <c r="C9" s="159"/>
      <c r="D9" s="159"/>
      <c r="E9" s="159"/>
      <c r="G9" s="27" t="s">
        <v>2</v>
      </c>
      <c r="H9" s="160"/>
      <c r="I9" s="161"/>
      <c r="J9" s="161"/>
      <c r="K9" s="161"/>
    </row>
    <row r="10" spans="1:11" ht="17.100000000000001" customHeight="1">
      <c r="A10" s="21" t="s">
        <v>44</v>
      </c>
      <c r="B10" s="21"/>
      <c r="C10" s="159"/>
      <c r="D10" s="159"/>
      <c r="E10" s="159"/>
      <c r="G10" s="27" t="s">
        <v>3</v>
      </c>
      <c r="H10" s="160"/>
      <c r="I10" s="161"/>
      <c r="J10" s="161"/>
      <c r="K10" s="161"/>
    </row>
    <row r="11" spans="1:11" ht="17.100000000000001" customHeight="1">
      <c r="G11" s="27" t="s">
        <v>4</v>
      </c>
      <c r="H11" s="160"/>
      <c r="I11" s="161"/>
      <c r="J11" s="161"/>
      <c r="K11" s="161"/>
    </row>
    <row r="12" spans="1:11" ht="17.100000000000001" customHeight="1">
      <c r="C12" s="28"/>
      <c r="G12" s="27" t="s">
        <v>5</v>
      </c>
      <c r="H12" s="160"/>
      <c r="I12" s="161"/>
      <c r="J12" s="161"/>
      <c r="K12" s="161"/>
    </row>
    <row r="13" spans="1:11" ht="10.5" customHeight="1">
      <c r="A13" s="29"/>
      <c r="B13" s="30"/>
    </row>
    <row r="14" spans="1:11" s="1" customFormat="1" ht="15.75" customHeight="1">
      <c r="E14" s="2">
        <v>1</v>
      </c>
      <c r="F14" s="2">
        <v>2</v>
      </c>
      <c r="G14" s="2">
        <v>3</v>
      </c>
      <c r="H14" s="2">
        <v>4</v>
      </c>
      <c r="I14" s="2">
        <v>5</v>
      </c>
      <c r="J14" s="2">
        <v>6</v>
      </c>
      <c r="K14" s="2" t="s">
        <v>20</v>
      </c>
    </row>
    <row r="15" spans="1:11" s="1" customFormat="1" ht="17.25" customHeight="1">
      <c r="A15" s="123" t="s">
        <v>27</v>
      </c>
      <c r="B15" s="124"/>
      <c r="C15" s="124"/>
      <c r="D15" s="3"/>
      <c r="E15" s="4"/>
      <c r="F15" s="4"/>
      <c r="G15" s="4"/>
      <c r="H15" s="4"/>
      <c r="I15" s="4"/>
      <c r="J15" s="4"/>
      <c r="K15" s="4">
        <f t="shared" ref="K15:K21" si="0">SUM(E15:J15)</f>
        <v>0</v>
      </c>
    </row>
    <row r="16" spans="1:11" s="1" customFormat="1" ht="16.5" customHeight="1">
      <c r="A16" s="123" t="s">
        <v>36</v>
      </c>
      <c r="B16" s="124"/>
      <c r="C16" s="124"/>
      <c r="D16" s="3"/>
      <c r="E16" s="4"/>
      <c r="F16" s="4"/>
      <c r="G16" s="4"/>
      <c r="H16" s="4"/>
      <c r="I16" s="4"/>
      <c r="J16" s="4"/>
      <c r="K16" s="4">
        <f t="shared" si="0"/>
        <v>0</v>
      </c>
    </row>
    <row r="17" spans="1:11" s="1" customFormat="1" ht="17.25" customHeight="1">
      <c r="A17" s="165" t="s">
        <v>37</v>
      </c>
      <c r="B17" s="166"/>
      <c r="C17" s="166"/>
      <c r="D17" s="3"/>
      <c r="E17" s="4"/>
      <c r="F17" s="4"/>
      <c r="G17" s="4"/>
      <c r="H17" s="4"/>
      <c r="I17" s="4"/>
      <c r="J17" s="4"/>
      <c r="K17" s="4">
        <f t="shared" si="0"/>
        <v>0</v>
      </c>
    </row>
    <row r="18" spans="1:11" s="1" customFormat="1" ht="17.25" customHeight="1">
      <c r="A18" s="123" t="s">
        <v>38</v>
      </c>
      <c r="B18" s="124"/>
      <c r="C18" s="124"/>
      <c r="D18" s="5"/>
      <c r="E18" s="4"/>
      <c r="F18" s="4"/>
      <c r="G18" s="4"/>
      <c r="H18" s="4"/>
      <c r="I18" s="4"/>
      <c r="J18" s="4"/>
      <c r="K18" s="4">
        <f t="shared" si="0"/>
        <v>0</v>
      </c>
    </row>
    <row r="19" spans="1:11" s="1" customFormat="1" ht="18" customHeight="1">
      <c r="A19" s="9" t="s">
        <v>28</v>
      </c>
      <c r="B19" s="8"/>
      <c r="C19" s="8"/>
      <c r="D19" s="3"/>
      <c r="E19" s="4"/>
      <c r="F19" s="4"/>
      <c r="G19" s="4"/>
      <c r="H19" s="4"/>
      <c r="I19" s="4"/>
      <c r="J19" s="4"/>
      <c r="K19" s="4">
        <f t="shared" si="0"/>
        <v>0</v>
      </c>
    </row>
    <row r="20" spans="1:11" ht="17.25" customHeight="1">
      <c r="A20" s="9" t="s">
        <v>40</v>
      </c>
      <c r="B20" s="8"/>
      <c r="C20" s="8"/>
      <c r="D20" s="3"/>
      <c r="E20" s="4"/>
      <c r="F20" s="4"/>
      <c r="G20" s="4"/>
      <c r="H20" s="4"/>
      <c r="I20" s="4"/>
      <c r="J20" s="4"/>
      <c r="K20" s="4">
        <f t="shared" si="0"/>
        <v>0</v>
      </c>
    </row>
    <row r="21" spans="1:11" ht="19.5" customHeight="1">
      <c r="A21" s="127" t="s">
        <v>41</v>
      </c>
      <c r="B21" s="128"/>
      <c r="C21" s="128"/>
      <c r="D21" s="129"/>
      <c r="E21" s="4"/>
      <c r="F21" s="4"/>
      <c r="G21" s="4"/>
      <c r="H21" s="4"/>
      <c r="I21" s="4"/>
      <c r="J21" s="4"/>
      <c r="K21" s="4">
        <f t="shared" si="0"/>
        <v>0</v>
      </c>
    </row>
    <row r="22" spans="1:11" ht="19.5" customHeight="1">
      <c r="A22" s="72"/>
      <c r="B22" s="72"/>
      <c r="C22" s="72"/>
      <c r="D22" s="72"/>
      <c r="E22" s="67"/>
      <c r="F22" s="67"/>
      <c r="G22" s="67"/>
      <c r="H22" s="67"/>
      <c r="I22" s="67"/>
      <c r="J22" s="67" t="s">
        <v>71</v>
      </c>
      <c r="K22" s="4">
        <f>SUM(K15:K21)</f>
        <v>0</v>
      </c>
    </row>
    <row r="23" spans="1:11" ht="18.75" customHeight="1">
      <c r="J23" s="70" t="s">
        <v>67</v>
      </c>
      <c r="K23" s="71">
        <f>IFERROR(K22/6,0)</f>
        <v>0</v>
      </c>
    </row>
    <row r="24" spans="1:11" ht="12.75" customHeight="1" thickBot="1">
      <c r="K24" s="35" t="s">
        <v>34</v>
      </c>
    </row>
    <row r="25" spans="1:11" ht="15" thickBot="1">
      <c r="H25" s="42" t="s">
        <v>35</v>
      </c>
      <c r="I25" s="43"/>
      <c r="J25" s="44"/>
      <c r="K25" s="45">
        <f>IFERROR(K23/7,0)</f>
        <v>0</v>
      </c>
    </row>
    <row r="26" spans="1:11" ht="9" customHeight="1">
      <c r="E26" s="46"/>
      <c r="G26" s="47"/>
      <c r="H26" s="47"/>
      <c r="I26" s="48"/>
      <c r="J26" s="35"/>
      <c r="K26" s="49"/>
    </row>
    <row r="27" spans="1:11" ht="15">
      <c r="A27" s="50" t="s">
        <v>54</v>
      </c>
      <c r="B27" s="6"/>
      <c r="C27" s="6"/>
      <c r="D27" s="6"/>
      <c r="E27" s="6"/>
      <c r="F27" s="6"/>
      <c r="G27" s="154" t="s">
        <v>32</v>
      </c>
      <c r="H27" s="155"/>
      <c r="I27" s="156" t="s">
        <v>45</v>
      </c>
      <c r="J27" s="157"/>
      <c r="K27" s="158"/>
    </row>
    <row r="28" spans="1:11">
      <c r="A28" s="130" t="s">
        <v>55</v>
      </c>
      <c r="B28" s="141" t="s">
        <v>15</v>
      </c>
      <c r="C28" s="212" t="s">
        <v>14</v>
      </c>
      <c r="D28" s="212"/>
      <c r="E28" s="203" t="s">
        <v>18</v>
      </c>
      <c r="F28" s="204"/>
      <c r="G28" s="149"/>
      <c r="H28" s="150"/>
      <c r="I28" s="151">
        <v>0.2</v>
      </c>
      <c r="J28" s="143"/>
      <c r="K28" s="145">
        <f>J28*0.2</f>
        <v>0</v>
      </c>
    </row>
    <row r="29" spans="1:11" ht="46.5" customHeight="1">
      <c r="A29" s="140"/>
      <c r="B29" s="141"/>
      <c r="C29" s="212" t="s">
        <v>16</v>
      </c>
      <c r="D29" s="212"/>
      <c r="E29" s="205" t="s">
        <v>24</v>
      </c>
      <c r="F29" s="206"/>
      <c r="G29" s="135"/>
      <c r="H29" s="136"/>
      <c r="I29" s="152"/>
      <c r="J29" s="143"/>
      <c r="K29" s="145"/>
    </row>
    <row r="30" spans="1:11" ht="35.25" customHeight="1">
      <c r="A30" s="131"/>
      <c r="B30" s="142"/>
      <c r="C30" s="213" t="s">
        <v>17</v>
      </c>
      <c r="D30" s="213"/>
      <c r="E30" s="205" t="s">
        <v>56</v>
      </c>
      <c r="F30" s="206"/>
      <c r="G30" s="147"/>
      <c r="H30" s="148"/>
      <c r="I30" s="153"/>
      <c r="J30" s="144"/>
      <c r="K30" s="146"/>
    </row>
    <row r="31" spans="1:11" ht="23.25" customHeight="1">
      <c r="A31" s="130" t="s">
        <v>57</v>
      </c>
      <c r="B31" s="132" t="s">
        <v>58</v>
      </c>
      <c r="C31" s="133"/>
      <c r="D31" s="134"/>
      <c r="E31" s="207" t="s">
        <v>59</v>
      </c>
      <c r="F31" s="208"/>
      <c r="G31" s="135"/>
      <c r="H31" s="136"/>
      <c r="I31" s="51">
        <v>0.4</v>
      </c>
      <c r="J31" s="74"/>
      <c r="K31" s="75">
        <f>J31*0.4</f>
        <v>0</v>
      </c>
    </row>
    <row r="32" spans="1:11" ht="66.75" customHeight="1" thickBot="1">
      <c r="A32" s="131"/>
      <c r="B32" s="137" t="s">
        <v>19</v>
      </c>
      <c r="C32" s="138"/>
      <c r="D32" s="139"/>
      <c r="E32" s="209" t="s">
        <v>23</v>
      </c>
      <c r="F32" s="210"/>
      <c r="G32" s="135"/>
      <c r="H32" s="136"/>
      <c r="I32" s="51">
        <v>0.4</v>
      </c>
      <c r="J32" s="74"/>
      <c r="K32" s="75">
        <f>J32*0.4</f>
        <v>0</v>
      </c>
    </row>
    <row r="33" spans="1:11" ht="13.5" thickBot="1">
      <c r="A33" s="52" t="s">
        <v>42</v>
      </c>
      <c r="B33" s="120" t="s">
        <v>60</v>
      </c>
      <c r="C33" s="121"/>
      <c r="D33" s="121"/>
      <c r="E33" s="121"/>
      <c r="F33" s="121"/>
      <c r="G33" s="121"/>
      <c r="H33" s="121"/>
      <c r="I33" s="122"/>
      <c r="J33" s="53"/>
      <c r="K33" s="54"/>
    </row>
    <row r="34" spans="1:11" ht="18" customHeight="1" thickBot="1">
      <c r="A34" s="55"/>
      <c r="B34" s="55"/>
      <c r="C34" s="55"/>
      <c r="D34" s="55"/>
      <c r="E34" s="55"/>
      <c r="F34" s="55"/>
      <c r="G34" s="38"/>
      <c r="H34" s="38"/>
      <c r="I34" s="56"/>
      <c r="J34" s="57" t="s">
        <v>7</v>
      </c>
      <c r="K34" s="58">
        <f>IFERROR(K28+K31+K32-K33,0)</f>
        <v>0</v>
      </c>
    </row>
    <row r="35" spans="1:11" ht="18" customHeight="1" thickBot="1">
      <c r="A35" s="55"/>
      <c r="B35" s="55"/>
      <c r="C35" s="55"/>
      <c r="D35" s="55"/>
      <c r="E35" s="55"/>
      <c r="F35" s="55"/>
      <c r="G35" s="38"/>
      <c r="H35" s="38"/>
      <c r="I35" s="59" t="s">
        <v>68</v>
      </c>
      <c r="J35" s="60"/>
      <c r="K35" s="58">
        <f>IFERROR(3*K25+K34,0)</f>
        <v>0</v>
      </c>
    </row>
    <row r="36" spans="1:11" ht="18" customHeight="1" thickBot="1">
      <c r="E36" s="46"/>
      <c r="G36" s="47"/>
      <c r="H36" s="61"/>
      <c r="I36" s="57" t="s">
        <v>63</v>
      </c>
      <c r="J36" s="62" t="s">
        <v>69</v>
      </c>
      <c r="K36" s="211">
        <f>K35/4</f>
        <v>0</v>
      </c>
    </row>
    <row r="37" spans="1:11" ht="9.75" customHeight="1"/>
    <row r="38" spans="1:11">
      <c r="A38" s="19" t="s">
        <v>21</v>
      </c>
      <c r="B38" s="63"/>
      <c r="C38" s="63"/>
      <c r="D38" s="63"/>
      <c r="E38" s="64"/>
      <c r="G38" s="19" t="s">
        <v>22</v>
      </c>
      <c r="H38" s="19"/>
      <c r="I38" s="19"/>
      <c r="J38" s="19"/>
      <c r="K38" s="19"/>
    </row>
    <row r="39" spans="1:11" ht="9" customHeight="1">
      <c r="E39" s="46"/>
      <c r="G39" s="47"/>
      <c r="H39" s="47"/>
      <c r="I39" s="48"/>
      <c r="J39" s="35"/>
      <c r="K39" s="49"/>
    </row>
    <row r="44" spans="1:11" ht="12" customHeight="1"/>
    <row r="45" spans="1:11" ht="13.5" customHeight="1"/>
  </sheetData>
  <mergeCells count="40">
    <mergeCell ref="B33:I33"/>
    <mergeCell ref="A21:D21"/>
    <mergeCell ref="A31:A32"/>
    <mergeCell ref="B31:D31"/>
    <mergeCell ref="E31:F31"/>
    <mergeCell ref="G31:H31"/>
    <mergeCell ref="B32:D32"/>
    <mergeCell ref="E32:F32"/>
    <mergeCell ref="G32:H32"/>
    <mergeCell ref="A28:A30"/>
    <mergeCell ref="B28:B30"/>
    <mergeCell ref="J28:J30"/>
    <mergeCell ref="K28:K30"/>
    <mergeCell ref="C29:D29"/>
    <mergeCell ref="E29:F29"/>
    <mergeCell ref="G29:H29"/>
    <mergeCell ref="C30:D30"/>
    <mergeCell ref="E30:F30"/>
    <mergeCell ref="G30:H30"/>
    <mergeCell ref="C28:D28"/>
    <mergeCell ref="E28:F28"/>
    <mergeCell ref="G28:H28"/>
    <mergeCell ref="I28:I30"/>
    <mergeCell ref="A16:C16"/>
    <mergeCell ref="A17:C17"/>
    <mergeCell ref="A18:C18"/>
    <mergeCell ref="G27:H27"/>
    <mergeCell ref="I27:K27"/>
    <mergeCell ref="C10:E10"/>
    <mergeCell ref="H10:K10"/>
    <mergeCell ref="H11:K11"/>
    <mergeCell ref="H12:K12"/>
    <mergeCell ref="A15:C15"/>
    <mergeCell ref="C9:E9"/>
    <mergeCell ref="H9:K9"/>
    <mergeCell ref="C5:E5"/>
    <mergeCell ref="C7:E7"/>
    <mergeCell ref="H7:K7"/>
    <mergeCell ref="C8:E8"/>
    <mergeCell ref="H8:K8"/>
  </mergeCells>
  <conditionalFormatting sqref="K28:K35">
    <cfRule type="cellIs" dxfId="3" priority="2" operator="equal">
      <formula>0</formula>
    </cfRule>
  </conditionalFormatting>
  <conditionalFormatting sqref="J28:J33 K28:K35">
    <cfRule type="cellIs" dxfId="2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 xml:space="preserve">&amp;L&amp;G&amp;C&amp;"Verdana,Normal"&amp;12PROTOKOLL FÖR SKRITT SVÅRKLASS
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4"/>
  <sheetViews>
    <sheetView showZeros="0" tabSelected="1" view="pageLayout" topLeftCell="A10" zoomScaleNormal="100" workbookViewId="0">
      <selection activeCell="L29" sqref="L29:L35"/>
    </sheetView>
  </sheetViews>
  <sheetFormatPr defaultColWidth="9.140625" defaultRowHeight="12.75"/>
  <cols>
    <col min="1" max="1" width="8.28515625" style="76" customWidth="1"/>
    <col min="2" max="3" width="9.140625" style="76"/>
    <col min="4" max="4" width="2.7109375" style="76" customWidth="1"/>
    <col min="5" max="6" width="7.28515625" style="76" customWidth="1"/>
    <col min="7" max="7" width="6.85546875" style="76" customWidth="1"/>
    <col min="8" max="8" width="6.5703125" style="76" customWidth="1"/>
    <col min="9" max="9" width="6.140625" style="76" customWidth="1"/>
    <col min="10" max="11" width="7.28515625" style="76" customWidth="1"/>
    <col min="12" max="12" width="8.7109375" style="76" customWidth="1"/>
    <col min="13" max="13" width="7.28515625" style="76" customWidth="1"/>
    <col min="14" max="16384" width="9.140625" style="76"/>
  </cols>
  <sheetData>
    <row r="1" spans="1:12" ht="6" customHeight="1" thickBot="1"/>
    <row r="2" spans="1:12" ht="24" customHeight="1" thickBot="1">
      <c r="A2" s="77" t="s">
        <v>91</v>
      </c>
      <c r="H2" s="78"/>
      <c r="I2" s="79" t="s">
        <v>47</v>
      </c>
      <c r="J2" s="80"/>
      <c r="K2" s="81"/>
      <c r="L2" s="81"/>
    </row>
    <row r="3" spans="1:12" ht="24" customHeight="1" thickBot="1">
      <c r="A3" s="82" t="s">
        <v>79</v>
      </c>
      <c r="H3" s="78"/>
      <c r="I3" s="79" t="s">
        <v>48</v>
      </c>
      <c r="J3" s="80"/>
      <c r="K3" s="81"/>
      <c r="L3" s="81"/>
    </row>
    <row r="4" spans="1:12" ht="24" customHeight="1" thickBot="1">
      <c r="A4" s="83" t="s">
        <v>9</v>
      </c>
      <c r="B4" s="83"/>
      <c r="C4" s="84"/>
      <c r="D4" s="84"/>
      <c r="E4" s="84"/>
      <c r="F4" s="84"/>
      <c r="H4" s="78"/>
      <c r="I4" s="79" t="s">
        <v>43</v>
      </c>
      <c r="J4" s="80"/>
      <c r="K4" s="81"/>
      <c r="L4" s="81"/>
    </row>
    <row r="5" spans="1:12" ht="24" customHeight="1" thickBot="1">
      <c r="A5" s="85" t="s">
        <v>10</v>
      </c>
      <c r="B5" s="85"/>
      <c r="C5" s="197"/>
      <c r="D5" s="197"/>
      <c r="E5" s="197"/>
      <c r="F5" s="197"/>
      <c r="H5" s="78"/>
      <c r="I5" s="79" t="s">
        <v>8</v>
      </c>
      <c r="J5" s="86"/>
      <c r="K5" s="81"/>
      <c r="L5" s="81"/>
    </row>
    <row r="6" spans="1:12" ht="19.5" customHeight="1">
      <c r="A6" s="76" t="s">
        <v>46</v>
      </c>
      <c r="H6" s="76" t="s">
        <v>13</v>
      </c>
    </row>
    <row r="7" spans="1:12" ht="17.100000000000001" customHeight="1">
      <c r="A7" s="85" t="s">
        <v>11</v>
      </c>
      <c r="B7" s="85"/>
      <c r="C7" s="197"/>
      <c r="D7" s="197"/>
      <c r="E7" s="197"/>
      <c r="F7" s="197"/>
      <c r="H7" s="87" t="s">
        <v>0</v>
      </c>
      <c r="I7" s="200"/>
      <c r="J7" s="201"/>
      <c r="K7" s="201"/>
      <c r="L7" s="201"/>
    </row>
    <row r="8" spans="1:12" ht="17.100000000000001" customHeight="1">
      <c r="A8" s="83" t="s">
        <v>6</v>
      </c>
      <c r="B8" s="83"/>
      <c r="C8" s="202"/>
      <c r="D8" s="202"/>
      <c r="E8" s="202"/>
      <c r="F8" s="202"/>
      <c r="H8" s="88" t="s">
        <v>1</v>
      </c>
      <c r="I8" s="198"/>
      <c r="J8" s="199"/>
      <c r="K8" s="199"/>
      <c r="L8" s="199"/>
    </row>
    <row r="9" spans="1:12" ht="17.100000000000001" customHeight="1">
      <c r="A9" s="85" t="s">
        <v>12</v>
      </c>
      <c r="B9" s="85"/>
      <c r="C9" s="197"/>
      <c r="D9" s="197"/>
      <c r="E9" s="197"/>
      <c r="F9" s="197"/>
      <c r="H9" s="88" t="s">
        <v>2</v>
      </c>
      <c r="I9" s="198"/>
      <c r="J9" s="199"/>
      <c r="K9" s="199"/>
      <c r="L9" s="199"/>
    </row>
    <row r="10" spans="1:12" ht="17.100000000000001" customHeight="1">
      <c r="A10" s="85" t="s">
        <v>44</v>
      </c>
      <c r="B10" s="85"/>
      <c r="C10" s="197"/>
      <c r="D10" s="197"/>
      <c r="E10" s="197"/>
      <c r="F10" s="197"/>
      <c r="H10" s="88" t="s">
        <v>3</v>
      </c>
      <c r="I10" s="198"/>
      <c r="J10" s="199"/>
      <c r="K10" s="199"/>
      <c r="L10" s="199"/>
    </row>
    <row r="11" spans="1:12" ht="17.100000000000001" customHeight="1">
      <c r="H11" s="88" t="s">
        <v>4</v>
      </c>
      <c r="I11" s="198"/>
      <c r="J11" s="199"/>
      <c r="K11" s="199"/>
      <c r="L11" s="199"/>
    </row>
    <row r="12" spans="1:12" ht="17.100000000000001" customHeight="1">
      <c r="C12" s="89"/>
      <c r="H12" s="88" t="s">
        <v>5</v>
      </c>
      <c r="I12" s="198"/>
      <c r="J12" s="199"/>
      <c r="K12" s="199"/>
      <c r="L12" s="199"/>
    </row>
    <row r="13" spans="1:12" ht="13.5" customHeight="1">
      <c r="A13" s="90"/>
      <c r="B13" s="91"/>
    </row>
    <row r="14" spans="1:12" ht="15">
      <c r="A14" s="50" t="s">
        <v>54</v>
      </c>
      <c r="B14" s="6"/>
      <c r="C14" s="6"/>
      <c r="D14" s="6"/>
      <c r="E14" s="6"/>
      <c r="F14" s="6"/>
      <c r="G14" s="6"/>
      <c r="H14" s="154" t="s">
        <v>32</v>
      </c>
      <c r="I14" s="155"/>
      <c r="J14" s="156" t="s">
        <v>45</v>
      </c>
      <c r="K14" s="157"/>
      <c r="L14" s="158"/>
    </row>
    <row r="15" spans="1:12">
      <c r="A15" s="182" t="s">
        <v>80</v>
      </c>
      <c r="B15" s="194" t="s">
        <v>15</v>
      </c>
      <c r="C15" s="194" t="s">
        <v>14</v>
      </c>
      <c r="D15" s="194"/>
      <c r="E15" s="194"/>
      <c r="F15" s="214" t="s">
        <v>18</v>
      </c>
      <c r="G15" s="215"/>
      <c r="H15" s="149"/>
      <c r="I15" s="150"/>
      <c r="J15" s="151">
        <v>0.2</v>
      </c>
      <c r="K15" s="190"/>
      <c r="L15" s="192">
        <f>K15*0.2</f>
        <v>0</v>
      </c>
    </row>
    <row r="16" spans="1:12" ht="46.5" customHeight="1">
      <c r="A16" s="196"/>
      <c r="B16" s="194"/>
      <c r="C16" s="194" t="s">
        <v>16</v>
      </c>
      <c r="D16" s="194"/>
      <c r="E16" s="194"/>
      <c r="F16" s="216" t="s">
        <v>24</v>
      </c>
      <c r="G16" s="217"/>
      <c r="H16" s="135"/>
      <c r="I16" s="136"/>
      <c r="J16" s="152"/>
      <c r="K16" s="190"/>
      <c r="L16" s="192"/>
    </row>
    <row r="17" spans="1:13" ht="40.5" customHeight="1">
      <c r="A17" s="183"/>
      <c r="B17" s="195"/>
      <c r="C17" s="195" t="s">
        <v>17</v>
      </c>
      <c r="D17" s="195"/>
      <c r="E17" s="195"/>
      <c r="F17" s="216" t="s">
        <v>56</v>
      </c>
      <c r="G17" s="217"/>
      <c r="H17" s="147"/>
      <c r="I17" s="148"/>
      <c r="J17" s="153"/>
      <c r="K17" s="191"/>
      <c r="L17" s="193"/>
    </row>
    <row r="18" spans="1:13" ht="27.75" customHeight="1">
      <c r="A18" s="182" t="s">
        <v>81</v>
      </c>
      <c r="B18" s="184" t="s">
        <v>58</v>
      </c>
      <c r="C18" s="185"/>
      <c r="D18" s="185"/>
      <c r="E18" s="186"/>
      <c r="F18" s="214" t="s">
        <v>59</v>
      </c>
      <c r="G18" s="218"/>
      <c r="H18" s="135"/>
      <c r="I18" s="136"/>
      <c r="J18" s="73">
        <v>0.4</v>
      </c>
      <c r="K18" s="92"/>
      <c r="L18" s="93">
        <f>K18*0.4</f>
        <v>0</v>
      </c>
      <c r="M18" s="94"/>
    </row>
    <row r="19" spans="1:13" ht="54.75" customHeight="1" thickBot="1">
      <c r="A19" s="183"/>
      <c r="B19" s="187" t="s">
        <v>19</v>
      </c>
      <c r="C19" s="188"/>
      <c r="D19" s="188"/>
      <c r="E19" s="189"/>
      <c r="F19" s="219" t="s">
        <v>23</v>
      </c>
      <c r="G19" s="220"/>
      <c r="H19" s="135"/>
      <c r="I19" s="136"/>
      <c r="J19" s="73">
        <v>0.4</v>
      </c>
      <c r="K19" s="92"/>
      <c r="L19" s="93">
        <f>K19*0.4</f>
        <v>0</v>
      </c>
    </row>
    <row r="20" spans="1:13">
      <c r="A20" s="52" t="s">
        <v>42</v>
      </c>
      <c r="B20" s="120" t="s">
        <v>82</v>
      </c>
      <c r="C20" s="121"/>
      <c r="D20" s="121"/>
      <c r="E20" s="121"/>
      <c r="F20" s="121"/>
      <c r="G20" s="121"/>
      <c r="H20" s="121"/>
      <c r="I20" s="121"/>
      <c r="J20" s="122"/>
      <c r="K20" s="92"/>
      <c r="L20" s="95"/>
    </row>
    <row r="21" spans="1:13" ht="12.75" customHeight="1">
      <c r="A21" s="96"/>
      <c r="B21" s="96"/>
      <c r="C21" s="96"/>
      <c r="D21" s="96"/>
      <c r="E21" s="96"/>
      <c r="F21" s="96"/>
      <c r="G21" s="96"/>
      <c r="H21" s="97"/>
      <c r="I21" s="97"/>
      <c r="J21" s="98"/>
      <c r="K21" s="98"/>
      <c r="L21" s="99">
        <f>(L15+L18+L19)-L20</f>
        <v>0</v>
      </c>
    </row>
    <row r="22" spans="1:13" ht="12.75" customHeight="1">
      <c r="A22" s="100" t="s">
        <v>79</v>
      </c>
      <c r="B22" s="96"/>
      <c r="C22" s="96"/>
      <c r="D22" s="96"/>
      <c r="E22" s="96"/>
      <c r="F22" s="96"/>
      <c r="G22" s="96"/>
      <c r="H22" s="98"/>
      <c r="I22" s="98"/>
      <c r="J22" s="98"/>
      <c r="K22" s="98"/>
      <c r="L22" s="98"/>
    </row>
    <row r="23" spans="1:13" ht="12.75" customHeight="1">
      <c r="A23" s="173" t="s">
        <v>25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5"/>
    </row>
    <row r="24" spans="1:13">
      <c r="A24" s="176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8"/>
    </row>
    <row r="25" spans="1:13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8"/>
    </row>
    <row r="26" spans="1:13" ht="9" customHeight="1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8"/>
    </row>
    <row r="27" spans="1:13">
      <c r="A27" s="179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1"/>
    </row>
    <row r="29" spans="1:13" ht="14.25">
      <c r="A29" s="171" t="s">
        <v>83</v>
      </c>
      <c r="B29" s="171"/>
      <c r="C29" s="171"/>
      <c r="D29" s="171"/>
      <c r="E29" s="171"/>
      <c r="F29" s="171"/>
      <c r="G29" s="171"/>
      <c r="H29" s="171"/>
      <c r="I29" s="221"/>
      <c r="J29" s="221"/>
      <c r="K29" s="101" t="s">
        <v>84</v>
      </c>
      <c r="L29" s="103">
        <f>I29*1.5</f>
        <v>0</v>
      </c>
    </row>
    <row r="30" spans="1:13" ht="12" customHeight="1">
      <c r="A30" s="171" t="s">
        <v>85</v>
      </c>
      <c r="B30" s="171"/>
      <c r="C30" s="171"/>
      <c r="D30" s="171"/>
      <c r="E30" s="171"/>
      <c r="F30" s="171"/>
      <c r="G30" s="171"/>
      <c r="H30" s="171"/>
      <c r="I30" s="221"/>
      <c r="J30" s="221"/>
      <c r="K30" s="102" t="s">
        <v>84</v>
      </c>
      <c r="L30" s="103">
        <f>I30*1.5</f>
        <v>0</v>
      </c>
    </row>
    <row r="31" spans="1:13" ht="13.5" customHeight="1">
      <c r="A31" s="171" t="s">
        <v>86</v>
      </c>
      <c r="B31" s="171"/>
      <c r="C31" s="171"/>
      <c r="D31" s="171"/>
      <c r="E31" s="171"/>
      <c r="F31" s="171"/>
      <c r="G31" s="171"/>
      <c r="H31" s="171"/>
      <c r="I31" s="221"/>
      <c r="J31" s="221"/>
      <c r="K31" s="102" t="s">
        <v>92</v>
      </c>
      <c r="L31" s="103">
        <f>I31*2.5</f>
        <v>0</v>
      </c>
    </row>
    <row r="32" spans="1:13" ht="14.25">
      <c r="A32" s="171" t="s">
        <v>87</v>
      </c>
      <c r="B32" s="171"/>
      <c r="C32" s="171"/>
      <c r="D32" s="171"/>
      <c r="E32" s="171"/>
      <c r="F32" s="171"/>
      <c r="G32" s="171"/>
      <c r="H32" s="171"/>
      <c r="I32" s="221"/>
      <c r="J32" s="221"/>
      <c r="K32" s="102" t="s">
        <v>61</v>
      </c>
      <c r="L32" s="103">
        <f>I32*2</f>
        <v>0</v>
      </c>
    </row>
    <row r="33" spans="1:12" ht="14.25">
      <c r="A33" s="171" t="s">
        <v>88</v>
      </c>
      <c r="B33" s="171"/>
      <c r="C33" s="171"/>
      <c r="D33" s="171"/>
      <c r="E33" s="171"/>
      <c r="F33" s="171"/>
      <c r="G33" s="171"/>
      <c r="H33" s="171"/>
      <c r="I33" s="172">
        <f>L21</f>
        <v>0</v>
      </c>
      <c r="J33" s="172"/>
      <c r="K33" s="102" t="s">
        <v>92</v>
      </c>
      <c r="L33" s="103">
        <f>I33*2.5</f>
        <v>0</v>
      </c>
    </row>
    <row r="34" spans="1:12" ht="15" thickBot="1">
      <c r="A34" s="96"/>
      <c r="F34" s="82"/>
      <c r="I34" s="97"/>
      <c r="J34" s="104"/>
      <c r="K34" s="105" t="s">
        <v>89</v>
      </c>
      <c r="L34" s="103">
        <f>(L29+L30+L31+L32+L33)</f>
        <v>0</v>
      </c>
    </row>
    <row r="35" spans="1:12" ht="15" thickBot="1">
      <c r="A35" s="96"/>
      <c r="B35" s="96"/>
      <c r="C35" s="96"/>
      <c r="D35" s="96"/>
      <c r="E35" s="96"/>
      <c r="F35" s="168" t="s">
        <v>90</v>
      </c>
      <c r="G35" s="169"/>
      <c r="H35" s="169"/>
      <c r="I35" s="169"/>
      <c r="J35" s="169"/>
      <c r="K35" s="170"/>
      <c r="L35" s="107">
        <f>L34/10</f>
        <v>0</v>
      </c>
    </row>
    <row r="36" spans="1:12" ht="14.25">
      <c r="A36" s="96"/>
      <c r="B36" s="96"/>
      <c r="C36" s="96"/>
      <c r="D36" s="96"/>
      <c r="E36" s="96"/>
      <c r="F36" s="82"/>
      <c r="G36" s="82"/>
      <c r="H36" s="82"/>
      <c r="I36" s="82"/>
      <c r="J36" s="82"/>
      <c r="K36" s="82"/>
      <c r="L36" s="106"/>
    </row>
    <row r="37" spans="1:12" ht="14.25">
      <c r="A37" s="96"/>
      <c r="B37" s="96"/>
      <c r="C37" s="96"/>
      <c r="D37" s="96"/>
      <c r="E37" s="96"/>
      <c r="F37" s="82"/>
      <c r="G37" s="82"/>
      <c r="H37" s="82"/>
      <c r="I37" s="82"/>
      <c r="J37" s="82"/>
      <c r="K37" s="82"/>
      <c r="L37" s="106"/>
    </row>
    <row r="38" spans="1:12" ht="14.25">
      <c r="A38" s="96"/>
      <c r="B38" s="96"/>
      <c r="C38" s="96"/>
      <c r="D38" s="96"/>
      <c r="E38" s="96"/>
      <c r="F38" s="82"/>
      <c r="G38" s="82"/>
      <c r="H38" s="82"/>
      <c r="I38" s="82"/>
      <c r="J38" s="82"/>
      <c r="K38" s="82"/>
      <c r="L38" s="106"/>
    </row>
    <row r="39" spans="1:12" ht="14.25">
      <c r="A39" s="96"/>
      <c r="B39" s="96"/>
      <c r="C39" s="96"/>
      <c r="D39" s="96"/>
      <c r="E39" s="96"/>
      <c r="F39" s="82"/>
      <c r="G39" s="82"/>
      <c r="H39" s="82"/>
      <c r="I39" s="82"/>
      <c r="J39" s="82"/>
      <c r="K39" s="82"/>
      <c r="L39" s="106"/>
    </row>
    <row r="40" spans="1:12">
      <c r="F40" s="108"/>
      <c r="H40" s="109"/>
      <c r="I40" s="109"/>
      <c r="J40" s="110"/>
      <c r="K40" s="111"/>
      <c r="L40" s="112"/>
    </row>
    <row r="42" spans="1:12">
      <c r="A42" s="83" t="s">
        <v>21</v>
      </c>
      <c r="B42" s="113"/>
      <c r="C42" s="113"/>
      <c r="D42" s="113"/>
      <c r="E42" s="113"/>
      <c r="F42" s="108"/>
      <c r="H42" s="83" t="s">
        <v>22</v>
      </c>
      <c r="I42" s="83"/>
      <c r="J42" s="83"/>
      <c r="K42" s="83"/>
      <c r="L42" s="83"/>
    </row>
    <row r="43" spans="1:12">
      <c r="F43" s="108"/>
      <c r="H43" s="109"/>
      <c r="I43" s="109"/>
      <c r="J43" s="110"/>
      <c r="K43" s="111"/>
      <c r="L43" s="112"/>
    </row>
    <row r="44" spans="1:12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</row>
  </sheetData>
  <mergeCells count="47">
    <mergeCell ref="C9:F9"/>
    <mergeCell ref="I9:L9"/>
    <mergeCell ref="C5:F5"/>
    <mergeCell ref="C7:F7"/>
    <mergeCell ref="I7:L7"/>
    <mergeCell ref="C8:F8"/>
    <mergeCell ref="I8:L8"/>
    <mergeCell ref="C10:F10"/>
    <mergeCell ref="I10:L10"/>
    <mergeCell ref="I11:L11"/>
    <mergeCell ref="I12:L12"/>
    <mergeCell ref="H14:I14"/>
    <mergeCell ref="J14:L14"/>
    <mergeCell ref="A15:A17"/>
    <mergeCell ref="B15:B17"/>
    <mergeCell ref="C15:E15"/>
    <mergeCell ref="F15:G15"/>
    <mergeCell ref="H15:I15"/>
    <mergeCell ref="K15:K17"/>
    <mergeCell ref="L15:L17"/>
    <mergeCell ref="C16:E16"/>
    <mergeCell ref="F16:G16"/>
    <mergeCell ref="H16:I16"/>
    <mergeCell ref="C17:E17"/>
    <mergeCell ref="F17:G17"/>
    <mergeCell ref="H17:I17"/>
    <mergeCell ref="J15:J17"/>
    <mergeCell ref="A18:A19"/>
    <mergeCell ref="B18:E18"/>
    <mergeCell ref="F18:G18"/>
    <mergeCell ref="H18:I18"/>
    <mergeCell ref="B19:E19"/>
    <mergeCell ref="F19:G19"/>
    <mergeCell ref="H19:I19"/>
    <mergeCell ref="B20:J20"/>
    <mergeCell ref="A23:L27"/>
    <mergeCell ref="A29:H29"/>
    <mergeCell ref="I29:J29"/>
    <mergeCell ref="A30:H30"/>
    <mergeCell ref="I30:J30"/>
    <mergeCell ref="F35:K35"/>
    <mergeCell ref="A31:H31"/>
    <mergeCell ref="I31:J31"/>
    <mergeCell ref="A32:H32"/>
    <mergeCell ref="I32:J32"/>
    <mergeCell ref="A33:H33"/>
    <mergeCell ref="I33:J33"/>
  </mergeCells>
  <conditionalFormatting sqref="L15:L39 I33:J33">
    <cfRule type="cellIs" dxfId="1" priority="2" operator="equal">
      <formula>0</formula>
    </cfRule>
  </conditionalFormatting>
  <conditionalFormatting sqref="K15:K20 I29:J33 L15:L39">
    <cfRule type="cellIs" dxfId="0" priority="1" operator="notBetween">
      <formula>0</formula>
      <formula>10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&amp;L&amp;G&amp;C&amp;"Verdana,Normal"&amp;12PROTOKOLL FÖR SKRITT MELLAN- OCH SVÅRKLASS</oddHeader>
  </headerFooter>
  <ignoredErrors>
    <ignoredError sqref="L32:L35" formula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64838F1D-7ECA-4F32-944F-43492487C498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6</vt:i4>
      </vt:variant>
    </vt:vector>
  </HeadingPairs>
  <TitlesOfParts>
    <vt:vector size="6" baseType="lpstr">
      <vt:lpstr>Information</vt:lpstr>
      <vt:lpstr>Skritt mellan grund</vt:lpstr>
      <vt:lpstr>Skritt jrlag grund </vt:lpstr>
      <vt:lpstr>Skritt srlag grund</vt:lpstr>
      <vt:lpstr>Skritt lagkür</vt:lpstr>
      <vt:lpstr>Blad1</vt:lpstr>
    </vt:vector>
  </TitlesOfParts>
  <Company>BEZ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Zdenka Mišurcová</dc:creator>
  <cp:lastModifiedBy>Anna Andersson</cp:lastModifiedBy>
  <cp:lastPrinted>2014-10-02T13:39:45Z</cp:lastPrinted>
  <dcterms:created xsi:type="dcterms:W3CDTF">2005-01-07T14:31:35Z</dcterms:created>
  <dcterms:modified xsi:type="dcterms:W3CDTF">2015-03-24T19:18:10Z</dcterms:modified>
</cp:coreProperties>
</file>