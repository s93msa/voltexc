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85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episerver\voltige\VoltigeClosedXML\mallar\Protokoll\"/>
    </mc:Choice>
  </mc:AlternateContent>
  <xr:revisionPtr revIDLastSave="0" documentId="13_ncr:1_{D54E0CEE-B78A-46E4-8FB4-DD51AEAB4E7E}" xr6:coauthVersionLast="47" xr6:coauthVersionMax="47" xr10:uidLastSave="{00000000-0000-0000-0000-000000000000}"/>
  <x:bookViews>
    <x:workbookView xWindow="43080" yWindow="-120" windowWidth="38640" windowHeight="21240" activeTab="9" xr2:uid="{00000000-000D-0000-FFFF-FFFF00000000}"/>
  </x:bookViews>
  <x:sheets>
    <x:sheet name="Information" sheetId="27" r:id="rId1"/>
    <x:sheet name="Häst, lag" sheetId="30" r:id="rId2"/>
    <x:sheet name="Lag grund A" sheetId="22" r:id="rId3"/>
    <x:sheet name="Lag grund D" sheetId="17" r:id="rId4"/>
    <x:sheet name="Lag grund B" sheetId="18" r:id="rId5"/>
    <x:sheet name="Lag kür tekn mellan" sheetId="29" r:id="rId6"/>
    <x:sheet name="Lag kür tekn junior" sheetId="6" r:id="rId7"/>
    <x:sheet name="Lag kür tekn sr" sheetId="20" r:id="rId8"/>
    <x:sheet name="Lag kür art" sheetId="21" r:id="rId9"/>
    <x:sheet name="Lag kür art senior" sheetId="31" r:id="rId10"/>
  </x:sheets>
  <x:externalReferences>
    <x:externalReference r:id="rId11"/>
    <x:externalReference r:id="rId12"/>
  </x:externalReferences>
  <x:definedNames>
    <x:definedName name="Antal_tävlingsdagar" localSheetId="1">[1]Information!$H$5</x:definedName>
    <x:definedName name="Antal_tävlingsdagar">[2]Information!$H$5</x:definedName>
    <x:definedName name="bord" localSheetId="1">'Häst, lag'!$K$3</x:definedName>
    <x:definedName name="bord" localSheetId="2">'Lag grund A'!$L$3</x:definedName>
    <x:definedName name="bord" localSheetId="4">'Lag grund B'!$L$3</x:definedName>
    <x:definedName name="bord" localSheetId="3">'Lag grund D'!$L$3</x:definedName>
    <x:definedName name="bord" localSheetId="8">'Lag kür art'!$L$3</x:definedName>
    <x:definedName name="bord" localSheetId="9">'Lag kür art senior'!$L$3</x:definedName>
    <x:definedName name="bord" localSheetId="6">'Lag kür tekn junior'!$L$3</x:definedName>
    <x:definedName name="bord" localSheetId="5">'Lag kür tekn mellan'!$L$3</x:definedName>
    <x:definedName name="bord" localSheetId="7">'Lag kür tekn sr'!$L$3</x:definedName>
    <x:definedName name="datum" localSheetId="1">'Häst, lag'!$C$4</x:definedName>
    <x:definedName name="datum" localSheetId="2">'Lag grund A'!$C$4</x:definedName>
    <x:definedName name="datum" localSheetId="4">'Lag grund B'!$C$4</x:definedName>
    <x:definedName name="datum" localSheetId="3">'Lag grund D'!$C$4</x:definedName>
    <x:definedName name="datum" localSheetId="8">'Lag kür art'!$C$4</x:definedName>
    <x:definedName name="datum" localSheetId="9">'Lag kür art senior'!$C$4</x:definedName>
    <x:definedName name="datum" localSheetId="6">'Lag kür tekn junior'!$C$4</x:definedName>
    <x:definedName name="datum" localSheetId="5">'Lag kür tekn mellan'!$C$4</x:definedName>
    <x:definedName name="datum" localSheetId="7">'Lag kür tekn sr'!$C$4</x:definedName>
    <x:definedName name="domare" localSheetId="1">'Häst, lag'!$C$36</x:definedName>
    <x:definedName name="domare" localSheetId="2">'Lag grund A'!$C$33</x:definedName>
    <x:definedName name="domare" localSheetId="4">'Lag grund B'!$C$32</x:definedName>
    <x:definedName name="domare" localSheetId="3">'Lag grund D'!$C$33</x:definedName>
    <x:definedName name="domare" localSheetId="8">'Lag kür art'!$C$27</x:definedName>
    <x:definedName name="domare" localSheetId="9">'Lag kür art senior'!$C$27</x:definedName>
    <x:definedName name="domare" localSheetId="6">'Lag kür tekn junior'!$C$42</x:definedName>
    <x:definedName name="domare" localSheetId="5">'Lag kür tekn mellan'!$C$42</x:definedName>
    <x:definedName name="domare" localSheetId="7">'Lag kür tekn sr'!$C$42</x:definedName>
    <x:definedName name="firstvaulter" localSheetId="1">'Häst, lag'!$H$7</x:definedName>
    <x:definedName name="firstvaulter" localSheetId="2">'Lag grund A'!$I$7</x:definedName>
    <x:definedName name="firstvaulter" localSheetId="4">'Lag grund B'!$I$7</x:definedName>
    <x:definedName name="firstvaulter" localSheetId="3">'Lag grund D'!$I$7</x:definedName>
    <x:definedName name="firstvaulter" localSheetId="8">'Lag kür art'!$I$7</x:definedName>
    <x:definedName name="firstvaulter" localSheetId="9">'Lag kür art senior'!$I$7</x:definedName>
    <x:definedName name="firstvaulter" localSheetId="6">'Lag kür tekn junior'!$I$7</x:definedName>
    <x:definedName name="firstvaulter" localSheetId="5">'Lag kür tekn mellan'!$I$7</x:definedName>
    <x:definedName name="firstvaulter" localSheetId="7">'Lag kür tekn sr'!$I$7</x:definedName>
    <x:definedName name="header" localSheetId="1">'Häst, lag'!$A$2</x:definedName>
    <x:definedName name="id" localSheetId="1">'Häst, lag'!$U$1</x:definedName>
    <x:definedName name="id" localSheetId="2">'Lag grund A'!$U$1</x:definedName>
    <x:definedName name="id" localSheetId="4">'Lag grund B'!$U$1</x:definedName>
    <x:definedName name="id" localSheetId="3">'Lag grund D'!$U$1</x:definedName>
    <x:definedName name="id" localSheetId="8">'Lag kür art'!$U$1</x:definedName>
    <x:definedName name="id" localSheetId="9">'Lag kür art senior'!$U$1</x:definedName>
    <x:definedName name="id" localSheetId="6">'Lag kür tekn junior'!$U$1</x:definedName>
    <x:definedName name="id" localSheetId="5">'Lag kür tekn mellan'!$U$1</x:definedName>
    <x:definedName name="id" localSheetId="7">'Lag kür tekn sr'!$U$1</x:definedName>
    <x:definedName name="klass" localSheetId="1">'Häst, lag'!$K$4</x:definedName>
    <x:definedName name="klass" localSheetId="2">'Lag grund A'!$L$4</x:definedName>
    <x:definedName name="klass" localSheetId="4">'Lag grund B'!$L$4</x:definedName>
    <x:definedName name="klass" localSheetId="3">'Lag grund D'!$L$4</x:definedName>
    <x:definedName name="klass" localSheetId="8">'Lag kür art'!$L$4</x:definedName>
    <x:definedName name="klass" localSheetId="9">'Lag kür art senior'!$L$4</x:definedName>
    <x:definedName name="klass" localSheetId="6">'Lag kür tekn junior'!$L$4</x:definedName>
    <x:definedName name="klass" localSheetId="5">'Lag kür tekn mellan'!$L$4</x:definedName>
    <x:definedName name="klass" localSheetId="7">'Lag kür tekn sr'!$L$4</x:definedName>
    <x:definedName name="moment" localSheetId="1">'Häst, lag'!$K$5</x:definedName>
    <x:definedName name="moment" localSheetId="2">'Lag grund A'!$L$5</x:definedName>
    <x:definedName name="moment" localSheetId="4">'Lag grund B'!$L$5</x:definedName>
    <x:definedName name="moment" localSheetId="3">'Lag grund D'!$L$5</x:definedName>
    <x:definedName name="moment" localSheetId="8">'Lag kür art'!$L$5</x:definedName>
    <x:definedName name="moment" localSheetId="9">'Lag kür art senior'!$L$5</x:definedName>
    <x:definedName name="moment" localSheetId="6">'Lag kür tekn junior'!$L$5</x:definedName>
    <x:definedName name="moment" localSheetId="5">'Lag kür tekn mellan'!$L$5</x:definedName>
    <x:definedName name="moment" localSheetId="7">'Lag kür tekn sr'!$L$5</x:definedName>
    <x:definedName name="result" localSheetId="1">'Häst, lag'!$K$32</x:definedName>
    <x:definedName name="result" localSheetId="2">'Lag grund A'!$L$29</x:definedName>
    <x:definedName name="result" localSheetId="4">'Lag grund B'!$L$29</x:definedName>
    <x:definedName name="result" localSheetId="3">'Lag grund D'!$L$29</x:definedName>
    <x:definedName name="result" localSheetId="8">'Lag kür art'!$L$24</x:definedName>
    <x:definedName name="result" localSheetId="9">'Lag kür art senior'!$L$24</x:definedName>
    <x:definedName name="result" localSheetId="6">'Lag kür tekn junior'!$L$34</x:definedName>
    <x:definedName name="result" localSheetId="5">'Lag kür tekn mellan'!$L$34</x:definedName>
    <x:definedName name="result" localSheetId="7">'Lag kür tekn sr'!$L$35</x:definedName>
    <x:definedName name="_xlnm.Print_Area" localSheetId="1">'Häst, lag'!$A$1:$L$36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x:ext>
  </x:extLst>
</x:workbook>
</file>

<file path=xl/calcChain.xml><?xml version="1.0" encoding="utf-8"?>
<calcChain xmlns="http://schemas.openxmlformats.org/spreadsheetml/2006/main">
  <c r="L19" i="21" l="1"/>
  <c r="L18" i="21"/>
  <c r="L16" i="21"/>
  <c r="L19" i="31"/>
  <c r="L18" i="31"/>
  <c r="L17" i="31"/>
  <c r="L16" i="31"/>
  <c r="L20" i="31" s="1"/>
  <c r="L15" i="31"/>
  <c r="L24" i="31" s="1"/>
  <c r="K21" i="30"/>
  <c r="L17" i="21" l="1"/>
  <c r="L15" i="21"/>
  <c r="L24" i="21" l="1"/>
  <c r="K30" i="6" l="1"/>
  <c r="I28" i="20"/>
  <c r="E28" i="20"/>
  <c r="H28" i="20"/>
  <c r="K31" i="20"/>
  <c r="E22" i="6"/>
  <c r="E22" i="20"/>
  <c r="E21" i="20"/>
  <c r="E20" i="20"/>
  <c r="E27" i="6"/>
  <c r="E21" i="6"/>
  <c r="E20" i="6"/>
  <c r="K30" i="30"/>
  <c r="L29" i="30" s="1"/>
  <c r="K28" i="30"/>
  <c r="L21" i="30" s="1"/>
  <c r="K15" i="30"/>
  <c r="L15" i="30" s="1"/>
  <c r="K32" i="30" l="1"/>
  <c r="H20" i="20"/>
  <c r="H21" i="20" s="1"/>
  <c r="H22" i="20" l="1"/>
  <c r="E23" i="29"/>
  <c r="H27" i="29" s="1"/>
  <c r="I27" i="29" s="1"/>
  <c r="K27" i="29" s="1"/>
  <c r="K32" i="29" s="1"/>
  <c r="K22" i="29"/>
  <c r="K21" i="29"/>
  <c r="K20" i="29"/>
  <c r="K24" i="29" l="1"/>
  <c r="L34" i="29"/>
  <c r="L22" i="22"/>
  <c r="L21" i="22"/>
  <c r="L20" i="22"/>
  <c r="L19" i="22"/>
  <c r="L18" i="22"/>
  <c r="L17" i="22"/>
  <c r="L16" i="22"/>
  <c r="L15" i="22"/>
  <c r="L21" i="18"/>
  <c r="E23" i="20"/>
  <c r="K28" i="20" s="1"/>
  <c r="K33" i="20" s="1"/>
  <c r="K22" i="20"/>
  <c r="K21" i="20"/>
  <c r="K20" i="20"/>
  <c r="K21" i="6"/>
  <c r="K22" i="6"/>
  <c r="K20" i="6"/>
  <c r="E23" i="6"/>
  <c r="H27" i="6" s="1"/>
  <c r="I27" i="6" s="1"/>
  <c r="K27" i="6" s="1"/>
  <c r="K32" i="6" s="1"/>
  <c r="L34" i="6" s="1"/>
  <c r="L22" i="18"/>
  <c r="L20" i="18"/>
  <c r="L19" i="18"/>
  <c r="L18" i="18"/>
  <c r="L17" i="18"/>
  <c r="L16" i="18"/>
  <c r="L15" i="18"/>
  <c r="L22" i="17"/>
  <c r="L21" i="17"/>
  <c r="L20" i="17"/>
  <c r="L19" i="17"/>
  <c r="L18" i="17"/>
  <c r="L17" i="17"/>
  <c r="L16" i="17"/>
  <c r="K24" i="6"/>
  <c r="K24" i="20" l="1"/>
  <c r="L35" i="20" s="1"/>
  <c r="L24" i="22"/>
  <c r="L25" i="22" s="1"/>
  <c r="L29" i="22" s="1"/>
  <c r="L24" i="17"/>
  <c r="L25" i="17" s="1"/>
  <c r="L29" i="17" s="1"/>
  <c r="L24" i="18"/>
  <c r="L25" i="18" s="1"/>
  <c r="L29" i="18" s="1"/>
  <c r="L20" i="21"/>
</calcChain>
</file>

<file path=xl/sharedStrings.xml><?xml version="1.0" encoding="utf-8"?>
<sst xmlns="http://schemas.openxmlformats.org/spreadsheetml/2006/main" count="534" uniqueCount="149">
  <si>
    <t>1)</t>
  </si>
  <si>
    <t>2)</t>
  </si>
  <si>
    <t>3)</t>
  </si>
  <si>
    <t>4)</t>
  </si>
  <si>
    <t>5)</t>
  </si>
  <si>
    <t>6)</t>
  </si>
  <si>
    <t>Nation:</t>
  </si>
  <si>
    <t>A2
25%</t>
  </si>
  <si>
    <t>Svår klass lag</t>
  </si>
  <si>
    <t>Hästpoäng</t>
  </si>
  <si>
    <t>Moment</t>
  </si>
  <si>
    <t>Datum:</t>
  </si>
  <si>
    <t>Tävlingsplats:</t>
  </si>
  <si>
    <t>Lag:</t>
  </si>
  <si>
    <t>Häst:</t>
  </si>
  <si>
    <t>Voltigör:</t>
  </si>
  <si>
    <t>Longering</t>
  </si>
  <si>
    <t>Summa</t>
  </si>
  <si>
    <t>Domare:</t>
  </si>
  <si>
    <t>Signatur:</t>
  </si>
  <si>
    <t>Anteckningar</t>
  </si>
  <si>
    <t>Upphopp</t>
  </si>
  <si>
    <t>Grundsits</t>
  </si>
  <si>
    <t>Fana</t>
  </si>
  <si>
    <t>Stående</t>
  </si>
  <si>
    <t>Halv kvarn</t>
  </si>
  <si>
    <t>Kommentarer</t>
  </si>
  <si>
    <t>Summa grund:</t>
  </si>
  <si>
    <t xml:space="preserve">/ 6 voltigörer   </t>
  </si>
  <si>
    <t xml:space="preserve">/ 7  övningar  </t>
  </si>
  <si>
    <t>Poäng, grund</t>
  </si>
  <si>
    <t>Kvarn</t>
  </si>
  <si>
    <t>Sax del 1</t>
  </si>
  <si>
    <t>Sax del 2</t>
  </si>
  <si>
    <t xml:space="preserve">/ 6 voltigörer  </t>
  </si>
  <si>
    <t xml:space="preserve">/ 8 övningar  </t>
  </si>
  <si>
    <t>Poäng grund</t>
  </si>
  <si>
    <t>Avdrag för fall</t>
  </si>
  <si>
    <t>Sidhopp del 1</t>
  </si>
  <si>
    <t>Teknisk bedömning</t>
  </si>
  <si>
    <t>Artistisk bedömning</t>
  </si>
  <si>
    <t>Svårighetsgrad</t>
  </si>
  <si>
    <t>Utförande</t>
  </si>
  <si>
    <t>Avdrag</t>
  </si>
  <si>
    <t>Total avdrag</t>
  </si>
  <si>
    <t>Poäng utförande</t>
  </si>
  <si>
    <t>Teknisk poäng</t>
  </si>
  <si>
    <t xml:space="preserve"> /antal övn</t>
  </si>
  <si>
    <t>S-övningar</t>
  </si>
  <si>
    <t>M-övningar</t>
  </si>
  <si>
    <t>L-övningar</t>
  </si>
  <si>
    <t>Antal övningar</t>
  </si>
  <si>
    <t>Max. 20 övningar räknas</t>
  </si>
  <si>
    <t>Poäng</t>
  </si>
  <si>
    <t>Poäng svårighetsgrad</t>
  </si>
  <si>
    <t>Max. 25 övningar räknas</t>
  </si>
  <si>
    <t>Klass nr</t>
  </si>
  <si>
    <t>Poäng
0 till 10</t>
  </si>
  <si>
    <t>Artistisk poäng</t>
  </si>
  <si>
    <t>Linförare:</t>
  </si>
  <si>
    <t>Poäng 0 till 10</t>
  </si>
  <si>
    <t>Klubb:</t>
  </si>
  <si>
    <t>Start nr</t>
  </si>
  <si>
    <t>Bord</t>
  </si>
  <si>
    <t>Tabell för vilka protokoll som ska användas</t>
  </si>
  <si>
    <t>Endagarstävling 3 domare</t>
  </si>
  <si>
    <t>Omgång 1</t>
  </si>
  <si>
    <t>Omgång 2</t>
  </si>
  <si>
    <t>Domare A</t>
  </si>
  <si>
    <t>Domare B</t>
  </si>
  <si>
    <t>Domare C</t>
  </si>
  <si>
    <t>Endagarstävling 4 domare</t>
  </si>
  <si>
    <t>Domare D</t>
  </si>
  <si>
    <t>Tvådagarstävling 3 domare</t>
  </si>
  <si>
    <t>Omgång 3</t>
  </si>
  <si>
    <t>Häst, lag</t>
  </si>
  <si>
    <t>Mellan</t>
  </si>
  <si>
    <t>Svår, juniorlag</t>
  </si>
  <si>
    <t>Svår, seniorlag</t>
  </si>
  <si>
    <t>Lag kür art</t>
  </si>
  <si>
    <t>Tvådagarstävling 4 domare</t>
  </si>
  <si>
    <t>Mellanklass lag</t>
  </si>
  <si>
    <t>Lag kür</t>
  </si>
  <si>
    <t>Total</t>
  </si>
  <si>
    <t>Grundomgång</t>
  </si>
  <si>
    <t>häst x 1</t>
  </si>
  <si>
    <t>grund</t>
  </si>
  <si>
    <t>(B+C)/2</t>
  </si>
  <si>
    <t xml:space="preserve">  (A+B+C+D)/4</t>
  </si>
  <si>
    <t>Küromgång</t>
  </si>
  <si>
    <t>Tekniskt</t>
  </si>
  <si>
    <t xml:space="preserve"> Artistiskt</t>
  </si>
  <si>
    <t>B</t>
  </si>
  <si>
    <t>Summa (grund+kür)/2</t>
  </si>
  <si>
    <t>Om 3 domare används, beräknas poängen enligt följande tabell</t>
  </si>
  <si>
    <t>Information</t>
  </si>
  <si>
    <t>Överst finns tabeller över vilka protokoll som ska användas av respektive domare. Längre ner finns en tabell hur poängen ska beräknas om man har tre domare.</t>
  </si>
  <si>
    <t>Lag kür tekn sr</t>
  </si>
  <si>
    <t xml:space="preserve">Svår klass seniorlag kür </t>
  </si>
  <si>
    <t xml:space="preserve">Obs! Arbetsboken är skyddad med lösenordet 123 för att undvika att celler och formler ändras av misstag. </t>
  </si>
  <si>
    <t>Grund</t>
  </si>
  <si>
    <t>Lag kür svårklass junior</t>
  </si>
  <si>
    <t>Sving framlänges</t>
  </si>
  <si>
    <t>Sving baklänges, inkl avgång</t>
  </si>
  <si>
    <t>Avhopp, utåt</t>
  </si>
  <si>
    <t>Lag grund D</t>
  </si>
  <si>
    <t>Lag grund B</t>
  </si>
  <si>
    <t>Lag grund A</t>
  </si>
  <si>
    <t>Lag kür mellanklass</t>
  </si>
  <si>
    <t>Lag kür tekn mellan</t>
  </si>
  <si>
    <t>Lag kür tekn junior</t>
  </si>
  <si>
    <t xml:space="preserve">Gulmarkerade celler i protokollen markerar vilka celler som ska fyllas i. </t>
  </si>
  <si>
    <t>Protokollen uppdaterades senast 2019-03-28.</t>
  </si>
  <si>
    <t xml:space="preserve">Galoppkvalitet samt nivå av genomarbetad häst </t>
  </si>
  <si>
    <r>
      <rPr>
        <b/>
        <sz val="9"/>
        <color rgb="FF000000"/>
        <rFont val="Arial"/>
        <family val="2"/>
      </rPr>
      <t>•	Takt:</t>
    </r>
    <r>
      <rPr>
        <sz val="9"/>
        <color rgb="FF000000"/>
        <rFont val="Arial"/>
        <family val="2"/>
      </rPr>
      <t xml:space="preserve"> Regelbundenhet, energi, jämn steglängd, ren tretakt, tydig svävfas_x000D_
</t>
    </r>
    <r>
      <rPr>
        <b/>
        <sz val="9"/>
        <color rgb="FF000000"/>
        <rFont val="Arial"/>
        <family val="2"/>
      </rPr>
      <t>•Avslappning:</t>
    </r>
    <r>
      <rPr>
        <sz val="9"/>
        <color rgb="FF000000"/>
        <rFont val="Arial"/>
        <family val="2"/>
      </rPr>
      <t xml:space="preserve"> Lösgjordhet och mjukhet genom hela hästkroppen. Aktiva ryggmuskler. Avslappnad hals. Positiv muskelspänning. _x000D_
</t>
    </r>
    <r>
      <rPr>
        <b/>
        <sz val="9"/>
        <color rgb="FF000000"/>
        <rFont val="Arial"/>
        <family val="2"/>
      </rPr>
      <t>•	Stöd, kontakt:</t>
    </r>
    <r>
      <rPr>
        <sz val="9"/>
        <color rgb="FF000000"/>
        <rFont val="Arial"/>
        <family val="2"/>
      </rPr>
      <t xml:space="preserve"> Höjd rygg och aktiv bål, kopplingen mellan fram- och bakdel. Energi från bakbenen, genom kroppen, ger en mjuk och flexibel kontakt med inspänningstyglar och longerlina._x000D_
</t>
    </r>
    <r>
      <rPr>
        <b/>
        <sz val="9"/>
        <color rgb="FF000000"/>
        <rFont val="Arial"/>
        <family val="2"/>
      </rPr>
      <t>•	Schwung:</t>
    </r>
    <r>
      <rPr>
        <sz val="9"/>
        <color rgb="FF000000"/>
        <rFont val="Arial"/>
        <family val="2"/>
      </rPr>
      <t xml:space="preserve"> Självbärighet med svikt i steget, lösgjordhet och aktiva bakben. Energi skapad av aktiva väl undersatta bakben (bärkraft, inte skjutkraft). Lyfter framdelen och sänker korset. (Uppförsbacke)_x000D_
</t>
    </r>
    <r>
      <rPr>
        <b/>
        <sz val="9"/>
        <color rgb="FF000000"/>
        <rFont val="Arial"/>
        <family val="2"/>
      </rPr>
      <t>•	Rakriktning:</t>
    </r>
    <r>
      <rPr>
        <sz val="9"/>
        <color rgb="FF000000"/>
        <rFont val="Arial"/>
        <family val="2"/>
      </rPr>
      <t xml:space="preserve"> Formad efter volten, Spårar korrekt. Kroppen upprätt. Hästens form följer voltspåret hela kroppen._x000D_
</t>
    </r>
    <r>
      <rPr>
        <b/>
        <sz val="9"/>
        <color rgb="FF000000"/>
        <rFont val="Arial"/>
        <family val="2"/>
      </rPr>
      <t>•	Samling:</t>
    </r>
    <r>
      <rPr>
        <sz val="9"/>
        <color rgb="FF000000"/>
        <rFont val="Arial"/>
        <family val="2"/>
      </rPr>
      <t xml:space="preserve"> Vinklade bakben, sänkt kors och engagerad bakdel. Samling med lätthet och rörlighet i framdelen som resultat. Länger överlinjen och sätter bakbenen mer under sig. Kortare, kraftfulla, energiska språng. _x000D_
</t>
    </r>
  </si>
  <si>
    <t>A1
60%</t>
  </si>
  <si>
    <t>Takt
10 %</t>
  </si>
  <si>
    <t>Avslappning
10 %</t>
  </si>
  <si>
    <t>Stöd
10 %</t>
  </si>
  <si>
    <t>Schwung
10 %</t>
  </si>
  <si>
    <t>Rakriktning
10 %</t>
  </si>
  <si>
    <t>Samling
10 %</t>
  </si>
  <si>
    <t>Avdrag:</t>
  </si>
  <si>
    <t>A3
15%</t>
  </si>
  <si>
    <t>Svår klass seniorlag 3*</t>
  </si>
  <si>
    <t>Svår klass juniorlag 2*</t>
  </si>
  <si>
    <t>Sidhopp del 1, 
följt av avgång inåt</t>
  </si>
  <si>
    <t>HÄNSYN TILL HÄSTEN</t>
  </si>
  <si>
    <r>
      <rPr>
        <b/>
        <sz val="9"/>
        <color indexed="8"/>
        <rFont val="Arial"/>
        <family val="2"/>
      </rPr>
      <t>Hänsyn till hästen</t>
    </r>
    <r>
      <rPr>
        <b/>
        <sz val="8"/>
        <color indexed="8"/>
        <rFont val="Arial"/>
        <family val="2"/>
      </rPr>
      <t xml:space="preserve">
</t>
    </r>
    <r>
      <rPr>
        <sz val="8"/>
        <color indexed="8"/>
        <rFont val="Arial"/>
        <family val="2"/>
      </rPr>
      <t xml:space="preserve">• Urval av element och sekvenser i harmoni med hästen, baserat på vikt, sammansättning och balans.
• Övningar som inte överbelastar hästen.
</t>
    </r>
  </si>
  <si>
    <t>CoH
20%</t>
  </si>
  <si>
    <t>C2
10%</t>
  </si>
  <si>
    <r>
      <rPr>
        <b/>
        <sz val="9"/>
        <color indexed="8"/>
        <rFont val="Arial"/>
        <family val="2"/>
      </rPr>
      <t>Sammanhållning av sammansättning</t>
    </r>
    <r>
      <rPr>
        <sz val="8"/>
        <color indexed="8"/>
        <rFont val="Arial"/>
        <family val="2"/>
      </rPr>
      <t xml:space="preserve">
•  Mjuka övergångar och rörelser som visar flyt, kontroll och sammanhållning.
•  Element, sekvenser, övergångar, positioner, riktningar och kombinationer av övningar som uppvisar komplexitet och rörelsefrihet.
•  Undviker tom häst.</t>
    </r>
  </si>
  <si>
    <r>
      <rPr>
        <b/>
        <sz val="9"/>
        <color indexed="8"/>
        <rFont val="Arial"/>
        <family val="2"/>
      </rPr>
      <t>Tolkning av musiken/kroppsspråk/uttrycksfullhet.</t>
    </r>
    <r>
      <rPr>
        <sz val="8"/>
        <color indexed="8"/>
        <rFont val="Arial"/>
        <family val="2"/>
      </rPr>
      <t xml:space="preserve">
• Starkt engagemang till ett genomtänkt och utvecklat musikaliskt koncept.
• Fängslande tolkning av musiken.
• Stor variation av uttryck som speglar olika typer av musik samt förändringar i musiken.
• Komplexitet i kroppsspråk samt gester och rörelser i många olika riktningar.</t>
    </r>
  </si>
  <si>
    <t>Vilja/lydnad</t>
  </si>
  <si>
    <t>Balanserat tempo</t>
  </si>
  <si>
    <t>Håller voltspåret</t>
  </si>
  <si>
    <r>
      <rPr>
        <b/>
        <sz val="9"/>
        <rFont val="Arial"/>
        <family val="2"/>
      </rPr>
      <t>• Vilja/lydnad:</t>
    </r>
    <r>
      <rPr>
        <sz val="9"/>
        <rFont val="Arial"/>
        <family val="2"/>
      </rPr>
      <t xml:space="preserve"> Inget motstånd eller tvekan. Lyhörd och uppmärksam för linförarens hjälper. Harmoni och lätthet.
</t>
    </r>
    <r>
      <rPr>
        <b/>
        <sz val="9"/>
        <rFont val="Arial"/>
        <family val="2"/>
      </rPr>
      <t>• Balanserat tempo (framåt/bakåt):</t>
    </r>
    <r>
      <rPr>
        <sz val="9"/>
        <rFont val="Arial"/>
        <family val="2"/>
      </rPr>
      <t xml:space="preserve"> Konstant korrekt tempo (tempo och energi utan att öka eller minska). 
</t>
    </r>
    <r>
      <rPr>
        <b/>
        <sz val="9"/>
        <rFont val="Arial"/>
        <family val="2"/>
      </rPr>
      <t>• Håller voltspåret (inåt/utåt):</t>
    </r>
    <r>
      <rPr>
        <sz val="9"/>
        <rFont val="Arial"/>
        <family val="2"/>
      </rPr>
      <t xml:space="preserve"> Konstant volt med min 15 m diameter utan att falla in eller utåt.  </t>
    </r>
  </si>
  <si>
    <t>Longeringen ska visa på ett enkelt och harmoniskt samarbete och kommunikation mellan linförare och häst. 
• Korrekt och diskret använda hjälper.
• Korrekt position och hållning.
• Lämplig klädsel. 
• Väl anpassad utrustning.
• Inspring, hälsning och travvolt: Ska genomföras med flyt, från inspring tills hästen kommer fram i galopp och fram till dess att voltigören rör hästen.</t>
  </si>
  <si>
    <t>C1
10%</t>
  </si>
  <si>
    <t>C3
30%</t>
  </si>
  <si>
    <t>C4
30%</t>
  </si>
  <si>
    <r>
      <rPr>
        <b/>
        <sz val="9"/>
        <color indexed="8"/>
        <rFont val="Arial"/>
        <family val="2"/>
      </rPr>
      <t>Variation av övningar</t>
    </r>
    <r>
      <rPr>
        <b/>
        <sz val="8"/>
        <color indexed="8"/>
        <rFont val="Arial"/>
        <family val="2"/>
      </rPr>
      <t xml:space="preserve">
</t>
    </r>
    <r>
      <rPr>
        <sz val="8"/>
        <color indexed="8"/>
        <rFont val="Arial"/>
        <family val="2"/>
      </rPr>
      <t xml:space="preserve">• Statiska och dynamiska övningar i proportion till varandra.
• Använding av singel- och dubbelövningar. Trippelövningar är tillåtet.
• Urval av kombinationer.
• Ett urval av övningar, positioner och övergångar från olika strukturgrupper.
</t>
    </r>
  </si>
  <si>
    <r>
      <rPr>
        <b/>
        <sz val="9"/>
        <color indexed="8"/>
        <rFont val="Arial"/>
        <family val="2"/>
      </rPr>
      <t>Variation av position</t>
    </r>
    <r>
      <rPr>
        <sz val="8"/>
        <color indexed="8"/>
        <rFont val="Arial"/>
        <family val="2"/>
      </rPr>
      <t xml:space="preserve">
• Variation av position av övingar, dels relaterat till hästen men också i riktningar av övningar.
• Balanserad användning utrymmen; användning av alla delar av hästens rygg och hals, inklusive studs..
• Någorlunda jämnt deltagande av alla voltigörer.
• Någorlunda jämnt gällande roller och artistiskt engagemang.</t>
    </r>
  </si>
  <si>
    <t>STRUKTUR</t>
  </si>
  <si>
    <t>KOREOGRAFI</t>
  </si>
  <si>
    <t>C1
20%</t>
  </si>
  <si>
    <t>C3
25%</t>
  </si>
  <si>
    <t>C4
25%</t>
  </si>
  <si>
    <t>Lag kür senior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</si>
</sst>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"/>
    <numFmt numFmtId="165" formatCode="#,##0.000"/>
    <numFmt numFmtId="166" formatCode="0.000"/>
    <numFmt numFmtId="167" formatCode="_-* #,##0.0_-;\-* #,##0.0_-;_-* &quot;-&quot;??_-;_-@_-"/>
    <numFmt numFmtId="168" formatCode="_-* #,##0.000_-;\-* #,##0.000_-;_-* &quot;-&quot;??_-;_-@_-"/>
    <numFmt numFmtId="169" formatCode="0.0"/>
  </numFmts>
  <fonts count="26" x14ac:knownFonts="1">
    <font>
      <sz val="10"/>
      <name val="Arial"/>
      <charset val="238"/>
    </font>
    <font>
      <sz val="8"/>
      <name val="Arial"/>
      <family val="2"/>
    </font>
    <font>
      <sz val="10"/>
      <name val="Verdana"/>
      <family val="2"/>
    </font>
    <font>
      <b/>
      <sz val="10"/>
      <name val="Verdana"/>
      <family val="2"/>
    </font>
    <font>
      <sz val="8"/>
      <name val="Verdana"/>
      <family val="2"/>
    </font>
    <font>
      <strike/>
      <sz val="10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1"/>
      <name val="Verdana"/>
      <family val="2"/>
    </font>
    <font>
      <b/>
      <sz val="10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9"/>
      <name val="Arial"/>
      <family val="2"/>
    </font>
    <font>
      <b/>
      <sz val="9"/>
      <color indexed="8"/>
      <name val="Arial"/>
      <family val="2"/>
    </font>
    <font>
      <sz val="9"/>
      <color rgb="FF000000"/>
      <name val="Arial"/>
      <family val="2"/>
    </font>
    <font>
      <sz val="7"/>
      <color rgb="FF000000"/>
      <name val="Cambria"/>
      <family val="1"/>
      <scheme val="major"/>
    </font>
    <font>
      <b/>
      <sz val="9"/>
      <color rgb="FF000000"/>
      <name val="Arial"/>
      <family val="2"/>
    </font>
    <font>
      <sz val="8"/>
      <color rgb="FF000000"/>
      <name val="Symbol"/>
      <family val="1"/>
      <charset val="2"/>
    </font>
    <font>
      <sz val="14"/>
      <name val="Arial"/>
      <family val="2"/>
    </font>
    <font>
      <i/>
      <sz val="10"/>
      <name val="Arial"/>
      <family val="2"/>
    </font>
    <font>
      <b/>
      <sz val="16"/>
      <name val="Arial"/>
      <family val="2"/>
    </font>
    <font>
      <sz val="11"/>
      <color indexed="8"/>
      <name val="Calibri"/>
      <family val="2"/>
      <charset val="1"/>
    </font>
    <font>
      <sz val="9"/>
      <name val="Verdana"/>
      <family val="2"/>
    </font>
    <font>
      <sz val="9"/>
      <name val="Arial"/>
      <family val="2"/>
    </font>
    <font>
      <sz val="10"/>
      <color rgb="FF000000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21" fillId="0" borderId="0"/>
    <xf numFmtId="0" fontId="6" fillId="0" borderId="0"/>
  </cellStyleXfs>
  <cellXfs count="303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5" xfId="0" applyFont="1" applyBorder="1"/>
    <xf numFmtId="0" fontId="7" fillId="0" borderId="0" xfId="0" applyFont="1" applyAlignment="1">
      <alignment vertical="center"/>
    </xf>
    <xf numFmtId="0" fontId="4" fillId="0" borderId="20" xfId="0" applyFont="1" applyBorder="1" applyAlignment="1">
      <alignment horizontal="center" wrapText="1"/>
    </xf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2" fillId="0" borderId="1" xfId="0" applyFont="1" applyBorder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2" fillId="0" borderId="15" xfId="0" applyFont="1" applyBorder="1"/>
    <xf numFmtId="0" fontId="3" fillId="0" borderId="14" xfId="0" applyFont="1" applyBorder="1" applyAlignment="1">
      <alignment horizontal="center" vertical="center"/>
    </xf>
    <xf numFmtId="0" fontId="2" fillId="0" borderId="2" xfId="0" applyFont="1" applyBorder="1"/>
    <xf numFmtId="0" fontId="7" fillId="0" borderId="15" xfId="0" applyFont="1" applyBorder="1" applyAlignment="1">
      <alignment horizontal="left" vertical="center"/>
    </xf>
    <xf numFmtId="9" fontId="9" fillId="0" borderId="0" xfId="0" applyNumberFormat="1" applyFont="1" applyAlignment="1">
      <alignment horizontal="center" textRotation="90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4" xfId="0" applyFont="1" applyBorder="1"/>
    <xf numFmtId="0" fontId="2" fillId="0" borderId="6" xfId="0" applyFont="1" applyBorder="1"/>
    <xf numFmtId="0" fontId="2" fillId="0" borderId="0" xfId="0" applyFont="1" applyAlignment="1">
      <alignment horizontal="right"/>
    </xf>
    <xf numFmtId="0" fontId="2" fillId="0" borderId="7" xfId="0" applyFont="1" applyBorder="1"/>
    <xf numFmtId="0" fontId="2" fillId="0" borderId="8" xfId="0" applyFont="1" applyBorder="1"/>
    <xf numFmtId="165" fontId="2" fillId="0" borderId="18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5" fillId="0" borderId="0" xfId="0" applyFont="1"/>
    <xf numFmtId="0" fontId="7" fillId="0" borderId="16" xfId="0" applyFont="1" applyBorder="1" applyAlignment="1">
      <alignment horizontal="left" vertical="center"/>
    </xf>
    <xf numFmtId="0" fontId="5" fillId="0" borderId="15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165" fontId="7" fillId="0" borderId="18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3" xfId="0" applyFont="1" applyBorder="1"/>
    <xf numFmtId="0" fontId="2" fillId="0" borderId="5" xfId="0" applyFont="1" applyBorder="1" applyAlignment="1">
      <alignment horizontal="left"/>
    </xf>
    <xf numFmtId="0" fontId="2" fillId="0" borderId="0" xfId="3" applyFont="1"/>
    <xf numFmtId="0" fontId="6" fillId="0" borderId="0" xfId="3"/>
    <xf numFmtId="0" fontId="7" fillId="0" borderId="16" xfId="3" applyFont="1" applyBorder="1" applyAlignment="1">
      <alignment vertical="center"/>
    </xf>
    <xf numFmtId="0" fontId="7" fillId="0" borderId="15" xfId="3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5" fillId="0" borderId="15" xfId="0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0" fontId="3" fillId="0" borderId="4" xfId="0" applyFont="1" applyBorder="1"/>
    <xf numFmtId="0" fontId="2" fillId="0" borderId="5" xfId="0" applyFont="1" applyBorder="1" applyAlignment="1">
      <alignment horizontal="right"/>
    </xf>
    <xf numFmtId="165" fontId="3" fillId="0" borderId="6" xfId="0" applyNumberFormat="1" applyFont="1" applyBorder="1" applyAlignment="1">
      <alignment horizontal="center"/>
    </xf>
    <xf numFmtId="165" fontId="3" fillId="0" borderId="8" xfId="0" applyNumberFormat="1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167" fontId="2" fillId="0" borderId="0" xfId="1" applyNumberFormat="1" applyFont="1"/>
    <xf numFmtId="167" fontId="2" fillId="0" borderId="0" xfId="1" applyNumberFormat="1" applyFont="1" applyAlignment="1">
      <alignment vertical="center"/>
    </xf>
    <xf numFmtId="43" fontId="2" fillId="0" borderId="0" xfId="1" applyFont="1" applyAlignment="1">
      <alignment vertical="center"/>
    </xf>
    <xf numFmtId="166" fontId="2" fillId="0" borderId="0" xfId="1" applyNumberFormat="1" applyFont="1" applyAlignment="1">
      <alignment horizontal="center" vertical="center"/>
    </xf>
    <xf numFmtId="0" fontId="2" fillId="0" borderId="13" xfId="0" applyFont="1" applyBorder="1" applyAlignment="1">
      <alignment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12" xfId="1" applyNumberFormat="1" applyFont="1" applyBorder="1" applyAlignment="1">
      <alignment horizontal="center" vertical="center"/>
    </xf>
    <xf numFmtId="166" fontId="2" fillId="0" borderId="12" xfId="0" applyNumberFormat="1" applyFont="1" applyBorder="1" applyAlignment="1">
      <alignment horizontal="right" vertical="center"/>
    </xf>
    <xf numFmtId="166" fontId="2" fillId="0" borderId="12" xfId="1" applyNumberFormat="1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43" fontId="2" fillId="0" borderId="0" xfId="1" applyFont="1"/>
    <xf numFmtId="166" fontId="2" fillId="0" borderId="0" xfId="0" applyNumberFormat="1" applyFont="1" applyAlignment="1">
      <alignment horizontal="center"/>
    </xf>
    <xf numFmtId="0" fontId="2" fillId="0" borderId="11" xfId="0" applyFont="1" applyBorder="1"/>
    <xf numFmtId="0" fontId="2" fillId="0" borderId="2" xfId="0" applyFont="1" applyBorder="1" applyAlignment="1">
      <alignment horizontal="left"/>
    </xf>
    <xf numFmtId="43" fontId="2" fillId="0" borderId="2" xfId="1" applyFont="1" applyBorder="1"/>
    <xf numFmtId="0" fontId="3" fillId="0" borderId="16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166" fontId="3" fillId="0" borderId="17" xfId="1" applyNumberFormat="1" applyFont="1" applyBorder="1" applyAlignment="1">
      <alignment horizontal="center" vertical="center"/>
    </xf>
    <xf numFmtId="9" fontId="3" fillId="0" borderId="0" xfId="0" applyNumberFormat="1" applyFont="1" applyAlignment="1">
      <alignment vertical="center"/>
    </xf>
    <xf numFmtId="0" fontId="7" fillId="0" borderId="15" xfId="0" applyFont="1" applyBorder="1" applyAlignment="1">
      <alignment vertical="center"/>
    </xf>
    <xf numFmtId="166" fontId="7" fillId="0" borderId="17" xfId="0" applyNumberFormat="1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 wrapText="1"/>
    </xf>
    <xf numFmtId="166" fontId="3" fillId="0" borderId="31" xfId="1" applyNumberFormat="1" applyFont="1" applyBorder="1" applyAlignment="1">
      <alignment horizontal="center" vertical="center" wrapText="1"/>
    </xf>
    <xf numFmtId="9" fontId="12" fillId="0" borderId="0" xfId="0" applyNumberFormat="1" applyFont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166" fontId="3" fillId="0" borderId="32" xfId="1" applyNumberFormat="1" applyFont="1" applyBorder="1" applyAlignment="1">
      <alignment horizontal="center" vertical="center" wrapText="1"/>
    </xf>
    <xf numFmtId="166" fontId="3" fillId="0" borderId="33" xfId="1" applyNumberFormat="1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166" fontId="3" fillId="0" borderId="34" xfId="1" applyNumberFormat="1" applyFont="1" applyBorder="1" applyAlignment="1">
      <alignment horizontal="center" vertical="center" wrapText="1"/>
    </xf>
    <xf numFmtId="166" fontId="2" fillId="0" borderId="36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169" fontId="2" fillId="0" borderId="12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vertical="center"/>
    </xf>
    <xf numFmtId="2" fontId="2" fillId="0" borderId="7" xfId="0" applyNumberFormat="1" applyFont="1" applyBorder="1" applyAlignment="1">
      <alignment vertical="center"/>
    </xf>
    <xf numFmtId="2" fontId="2" fillId="0" borderId="0" xfId="0" applyNumberFormat="1" applyFont="1" applyAlignment="1">
      <alignment vertical="center"/>
    </xf>
    <xf numFmtId="169" fontId="2" fillId="0" borderId="12" xfId="1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vertical="center"/>
    </xf>
    <xf numFmtId="2" fontId="2" fillId="0" borderId="15" xfId="0" applyNumberFormat="1" applyFont="1" applyBorder="1" applyAlignment="1">
      <alignment vertical="center"/>
    </xf>
    <xf numFmtId="2" fontId="8" fillId="0" borderId="15" xfId="0" applyNumberFormat="1" applyFont="1" applyBorder="1" applyAlignment="1">
      <alignment vertical="center"/>
    </xf>
    <xf numFmtId="2" fontId="3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166" fontId="3" fillId="0" borderId="0" xfId="1" applyNumberFormat="1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8" fillId="0" borderId="15" xfId="0" applyFont="1" applyBorder="1"/>
    <xf numFmtId="168" fontId="3" fillId="0" borderId="17" xfId="1" applyNumberFormat="1" applyFont="1" applyBorder="1" applyAlignment="1">
      <alignment vertical="center"/>
    </xf>
    <xf numFmtId="166" fontId="7" fillId="0" borderId="17" xfId="0" applyNumberFormat="1" applyFont="1" applyBorder="1" applyAlignment="1">
      <alignment vertical="center"/>
    </xf>
    <xf numFmtId="166" fontId="2" fillId="0" borderId="0" xfId="0" applyNumberFormat="1" applyFont="1"/>
    <xf numFmtId="0" fontId="2" fillId="0" borderId="43" xfId="0" applyFont="1" applyBorder="1"/>
    <xf numFmtId="0" fontId="2" fillId="2" borderId="11" xfId="0" applyFont="1" applyFill="1" applyBorder="1"/>
    <xf numFmtId="0" fontId="2" fillId="0" borderId="13" xfId="0" applyFont="1" applyBorder="1"/>
    <xf numFmtId="0" fontId="2" fillId="0" borderId="2" xfId="0" applyFont="1" applyBorder="1" applyAlignment="1">
      <alignment horizontal="right"/>
    </xf>
    <xf numFmtId="165" fontId="3" fillId="0" borderId="13" xfId="0" applyNumberFormat="1" applyFont="1" applyBorder="1" applyAlignment="1">
      <alignment horizontal="center"/>
    </xf>
    <xf numFmtId="0" fontId="18" fillId="0" borderId="0" xfId="0" applyFont="1"/>
    <xf numFmtId="0" fontId="6" fillId="0" borderId="0" xfId="0" applyFont="1"/>
    <xf numFmtId="0" fontId="9" fillId="0" borderId="0" xfId="0" applyFont="1"/>
    <xf numFmtId="0" fontId="19" fillId="0" borderId="0" xfId="0" applyFont="1"/>
    <xf numFmtId="0" fontId="6" fillId="0" borderId="12" xfId="0" applyFont="1" applyBorder="1" applyAlignment="1">
      <alignment wrapText="1"/>
    </xf>
    <xf numFmtId="0" fontId="6" fillId="0" borderId="26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wrapText="1"/>
    </xf>
    <xf numFmtId="0" fontId="9" fillId="0" borderId="12" xfId="0" applyFont="1" applyBorder="1" applyAlignment="1">
      <alignment wrapText="1"/>
    </xf>
    <xf numFmtId="0" fontId="9" fillId="0" borderId="0" xfId="0" applyFont="1" applyAlignment="1">
      <alignment wrapText="1"/>
    </xf>
    <xf numFmtId="0" fontId="18" fillId="0" borderId="0" xfId="5" applyFont="1"/>
    <xf numFmtId="0" fontId="20" fillId="0" borderId="0" xfId="5" applyFont="1"/>
    <xf numFmtId="0" fontId="6" fillId="0" borderId="0" xfId="5"/>
    <xf numFmtId="14" fontId="2" fillId="0" borderId="1" xfId="0" applyNumberFormat="1" applyFont="1" applyBorder="1" applyAlignment="1">
      <alignment horizontal="center"/>
    </xf>
    <xf numFmtId="164" fontId="2" fillId="3" borderId="12" xfId="0" applyNumberFormat="1" applyFont="1" applyFill="1" applyBorder="1" applyAlignment="1">
      <alignment horizontal="center" vertical="center"/>
    </xf>
    <xf numFmtId="1" fontId="2" fillId="3" borderId="12" xfId="0" applyNumberFormat="1" applyFont="1" applyFill="1" applyBorder="1" applyAlignment="1">
      <alignment horizontal="center" vertical="center"/>
    </xf>
    <xf numFmtId="166" fontId="2" fillId="3" borderId="12" xfId="1" applyNumberFormat="1" applyFont="1" applyFill="1" applyBorder="1" applyAlignment="1">
      <alignment horizontal="center"/>
    </xf>
    <xf numFmtId="169" fontId="3" fillId="3" borderId="25" xfId="1" applyNumberFormat="1" applyFont="1" applyFill="1" applyBorder="1" applyAlignment="1">
      <alignment horizontal="center" vertical="center"/>
    </xf>
    <xf numFmtId="169" fontId="3" fillId="3" borderId="27" xfId="1" applyNumberFormat="1" applyFont="1" applyFill="1" applyBorder="1" applyAlignment="1">
      <alignment horizontal="center" vertical="center"/>
    </xf>
    <xf numFmtId="169" fontId="3" fillId="3" borderId="28" xfId="1" applyNumberFormat="1" applyFont="1" applyFill="1" applyBorder="1" applyAlignment="1">
      <alignment horizontal="center" vertical="center"/>
    </xf>
    <xf numFmtId="169" fontId="3" fillId="3" borderId="29" xfId="1" applyNumberFormat="1" applyFont="1" applyFill="1" applyBorder="1" applyAlignment="1">
      <alignment horizontal="center" vertical="center"/>
    </xf>
    <xf numFmtId="166" fontId="2" fillId="3" borderId="12" xfId="1" applyNumberFormat="1" applyFont="1" applyFill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0" fontId="6" fillId="0" borderId="0" xfId="0" applyFont="1" applyAlignment="1">
      <alignment wrapText="1"/>
    </xf>
    <xf numFmtId="0" fontId="6" fillId="0" borderId="0" xfId="7"/>
    <xf numFmtId="0" fontId="2" fillId="0" borderId="0" xfId="5" applyFont="1"/>
    <xf numFmtId="0" fontId="7" fillId="0" borderId="0" xfId="5" applyFont="1"/>
    <xf numFmtId="0" fontId="3" fillId="0" borderId="16" xfId="5" applyFont="1" applyBorder="1" applyAlignment="1">
      <alignment horizontal="center" vertical="center"/>
    </xf>
    <xf numFmtId="0" fontId="7" fillId="0" borderId="15" xfId="5" applyFont="1" applyBorder="1" applyAlignment="1">
      <alignment horizontal="left" vertical="center"/>
    </xf>
    <xf numFmtId="0" fontId="2" fillId="0" borderId="15" xfId="5" applyFont="1" applyBorder="1"/>
    <xf numFmtId="0" fontId="3" fillId="0" borderId="14" xfId="5" applyFont="1" applyBorder="1" applyAlignment="1">
      <alignment horizontal="center" vertical="center"/>
    </xf>
    <xf numFmtId="0" fontId="3" fillId="0" borderId="14" xfId="5" applyFont="1" applyBorder="1" applyAlignment="1" applyProtection="1">
      <alignment horizontal="center" vertical="center"/>
      <protection locked="0"/>
    </xf>
    <xf numFmtId="0" fontId="7" fillId="0" borderId="0" xfId="5" applyFont="1" applyAlignment="1">
      <alignment vertical="center"/>
    </xf>
    <xf numFmtId="0" fontId="2" fillId="0" borderId="1" xfId="5" applyFont="1" applyBorder="1"/>
    <xf numFmtId="0" fontId="2" fillId="0" borderId="1" xfId="5" applyFont="1" applyBorder="1" applyAlignment="1" applyProtection="1">
      <alignment horizontal="center"/>
      <protection locked="0"/>
    </xf>
    <xf numFmtId="0" fontId="2" fillId="0" borderId="2" xfId="5" applyFont="1" applyBorder="1"/>
    <xf numFmtId="0" fontId="2" fillId="0" borderId="43" xfId="5" applyFont="1" applyBorder="1"/>
    <xf numFmtId="0" fontId="2" fillId="0" borderId="0" xfId="5" applyFont="1" applyProtection="1">
      <protection locked="0"/>
    </xf>
    <xf numFmtId="0" fontId="2" fillId="0" borderId="2" xfId="5" applyFont="1" applyBorder="1" applyAlignment="1" applyProtection="1">
      <alignment horizontal="left"/>
      <protection locked="0"/>
    </xf>
    <xf numFmtId="9" fontId="9" fillId="0" borderId="0" xfId="5" applyNumberFormat="1" applyFont="1" applyAlignment="1">
      <alignment horizontal="center" textRotation="90" wrapText="1"/>
    </xf>
    <xf numFmtId="0" fontId="2" fillId="0" borderId="5" xfId="5" applyFont="1" applyBorder="1"/>
    <xf numFmtId="0" fontId="2" fillId="0" borderId="5" xfId="5" applyFont="1" applyBorder="1" applyAlignment="1">
      <alignment horizontal="left"/>
    </xf>
    <xf numFmtId="0" fontId="2" fillId="0" borderId="0" xfId="5" applyFont="1" applyAlignment="1">
      <alignment horizontal="center"/>
    </xf>
    <xf numFmtId="0" fontId="23" fillId="0" borderId="18" xfId="3" applyFont="1" applyBorder="1" applyAlignment="1">
      <alignment horizontal="center" wrapText="1"/>
    </xf>
    <xf numFmtId="0" fontId="23" fillId="0" borderId="18" xfId="5" applyFont="1" applyBorder="1" applyAlignment="1">
      <alignment horizontal="center" wrapText="1"/>
    </xf>
    <xf numFmtId="0" fontId="14" fillId="0" borderId="18" xfId="3" applyFont="1" applyBorder="1" applyAlignment="1">
      <alignment horizontal="center" wrapText="1"/>
    </xf>
    <xf numFmtId="0" fontId="23" fillId="0" borderId="16" xfId="5" applyFont="1" applyBorder="1" applyAlignment="1">
      <alignment horizontal="center" wrapText="1"/>
    </xf>
    <xf numFmtId="169" fontId="6" fillId="3" borderId="18" xfId="3" applyNumberFormat="1" applyFill="1" applyBorder="1" applyAlignment="1" applyProtection="1">
      <alignment horizontal="center" vertical="center"/>
      <protection locked="0"/>
    </xf>
    <xf numFmtId="169" fontId="24" fillId="3" borderId="18" xfId="3" applyNumberFormat="1" applyFont="1" applyFill="1" applyBorder="1" applyAlignment="1" applyProtection="1">
      <alignment horizontal="center" vertical="center" wrapText="1"/>
      <protection locked="0"/>
    </xf>
    <xf numFmtId="169" fontId="24" fillId="3" borderId="16" xfId="3" applyNumberFormat="1" applyFont="1" applyFill="1" applyBorder="1" applyAlignment="1" applyProtection="1">
      <alignment horizontal="center" vertical="center" wrapText="1"/>
      <protection locked="0"/>
    </xf>
    <xf numFmtId="0" fontId="23" fillId="0" borderId="51" xfId="3" applyFont="1" applyBorder="1" applyAlignment="1">
      <alignment vertical="center" wrapText="1"/>
    </xf>
    <xf numFmtId="0" fontId="23" fillId="3" borderId="18" xfId="3" applyFont="1" applyFill="1" applyBorder="1" applyAlignment="1" applyProtection="1">
      <alignment horizontal="center" vertical="center" wrapText="1"/>
      <protection locked="0"/>
    </xf>
    <xf numFmtId="169" fontId="3" fillId="2" borderId="18" xfId="1" applyNumberFormat="1" applyFont="1" applyFill="1" applyBorder="1" applyAlignment="1">
      <alignment vertical="center"/>
    </xf>
    <xf numFmtId="169" fontId="3" fillId="3" borderId="26" xfId="1" applyNumberFormat="1" applyFont="1" applyFill="1" applyBorder="1" applyAlignment="1" applyProtection="1">
      <alignment vertical="center"/>
      <protection locked="0"/>
    </xf>
    <xf numFmtId="0" fontId="6" fillId="0" borderId="51" xfId="3" applyBorder="1" applyAlignment="1">
      <alignment vertical="center"/>
    </xf>
    <xf numFmtId="0" fontId="3" fillId="0" borderId="0" xfId="5" applyFont="1" applyAlignment="1">
      <alignment horizontal="left"/>
    </xf>
    <xf numFmtId="0" fontId="2" fillId="0" borderId="1" xfId="3" applyFont="1" applyBorder="1" applyAlignment="1" applyProtection="1">
      <alignment horizontal="left"/>
      <protection locked="0"/>
    </xf>
    <xf numFmtId="166" fontId="4" fillId="0" borderId="12" xfId="0" applyNumberFormat="1" applyFont="1" applyBorder="1" applyAlignment="1">
      <alignment horizontal="right" vertical="center"/>
    </xf>
    <xf numFmtId="166" fontId="2" fillId="2" borderId="12" xfId="1" applyNumberFormat="1" applyFont="1" applyFill="1" applyBorder="1" applyAlignment="1">
      <alignment horizontal="center"/>
    </xf>
    <xf numFmtId="0" fontId="9" fillId="0" borderId="54" xfId="5" applyFont="1" applyBorder="1" applyAlignment="1">
      <alignment horizontal="center" vertical="center" textRotation="90" wrapText="1"/>
    </xf>
    <xf numFmtId="0" fontId="14" fillId="0" borderId="19" xfId="3" applyFont="1" applyBorder="1" applyAlignment="1">
      <alignment horizontal="center" vertical="center" wrapText="1"/>
    </xf>
    <xf numFmtId="169" fontId="3" fillId="3" borderId="25" xfId="1" applyNumberFormat="1" applyFont="1" applyFill="1" applyBorder="1" applyAlignment="1" applyProtection="1">
      <alignment horizontal="center" vertical="center"/>
      <protection locked="0"/>
    </xf>
    <xf numFmtId="166" fontId="3" fillId="0" borderId="31" xfId="1" applyNumberFormat="1" applyFont="1" applyFill="1" applyBorder="1" applyAlignment="1" applyProtection="1">
      <alignment horizontal="center" vertical="center" wrapText="1"/>
    </xf>
    <xf numFmtId="169" fontId="3" fillId="2" borderId="0" xfId="1" applyNumberFormat="1" applyFont="1" applyFill="1" applyBorder="1" applyAlignment="1" applyProtection="1">
      <alignment horizontal="center" vertical="center"/>
      <protection locked="0"/>
    </xf>
    <xf numFmtId="0" fontId="9" fillId="2" borderId="52" xfId="3" applyFont="1" applyFill="1" applyBorder="1" applyAlignment="1" applyProtection="1">
      <alignment horizontal="center" vertical="center" wrapText="1"/>
      <protection locked="0"/>
    </xf>
    <xf numFmtId="0" fontId="9" fillId="2" borderId="43" xfId="3" applyFont="1" applyFill="1" applyBorder="1" applyAlignment="1" applyProtection="1">
      <alignment horizontal="center" vertical="center" wrapText="1"/>
      <protection locked="0"/>
    </xf>
    <xf numFmtId="0" fontId="9" fillId="2" borderId="43" xfId="3" quotePrefix="1" applyFont="1" applyFill="1" applyBorder="1" applyAlignment="1" applyProtection="1">
      <alignment horizontal="center" vertical="center" wrapText="1"/>
      <protection locked="0"/>
    </xf>
    <xf numFmtId="0" fontId="9" fillId="2" borderId="53" xfId="3" applyFont="1" applyFill="1" applyBorder="1" applyAlignment="1" applyProtection="1">
      <alignment horizontal="center" vertical="center" wrapText="1"/>
      <protection locked="0"/>
    </xf>
    <xf numFmtId="9" fontId="25" fillId="0" borderId="9" xfId="3" applyNumberFormat="1" applyFont="1" applyBorder="1" applyAlignment="1">
      <alignment horizontal="center" vertical="center" wrapText="1"/>
    </xf>
    <xf numFmtId="0" fontId="1" fillId="0" borderId="10" xfId="3" applyFont="1" applyBorder="1" applyAlignment="1">
      <alignment horizontal="center" vertical="center" wrapText="1"/>
    </xf>
    <xf numFmtId="9" fontId="25" fillId="0" borderId="1" xfId="3" applyNumberFormat="1" applyFont="1" applyBorder="1" applyAlignment="1">
      <alignment horizontal="center" vertical="center" wrapText="1"/>
    </xf>
    <xf numFmtId="0" fontId="23" fillId="0" borderId="60" xfId="3" applyFont="1" applyBorder="1" applyAlignment="1">
      <alignment horizontal="center" vertical="center" wrapText="1"/>
    </xf>
    <xf numFmtId="0" fontId="9" fillId="3" borderId="52" xfId="3" applyFont="1" applyFill="1" applyBorder="1" applyAlignment="1" applyProtection="1">
      <alignment horizontal="center" vertical="center" wrapText="1"/>
      <protection locked="0"/>
    </xf>
    <xf numFmtId="0" fontId="9" fillId="3" borderId="43" xfId="3" applyFont="1" applyFill="1" applyBorder="1" applyAlignment="1" applyProtection="1">
      <alignment horizontal="center" vertical="center" wrapText="1"/>
      <protection locked="0"/>
    </xf>
    <xf numFmtId="0" fontId="9" fillId="3" borderId="61" xfId="3" quotePrefix="1" applyFont="1" applyFill="1" applyBorder="1" applyAlignment="1" applyProtection="1">
      <alignment horizontal="center" vertical="center" wrapText="1"/>
      <protection locked="0"/>
    </xf>
    <xf numFmtId="0" fontId="9" fillId="3" borderId="62" xfId="3" quotePrefix="1" applyFont="1" applyFill="1" applyBorder="1" applyAlignment="1" applyProtection="1">
      <alignment horizontal="center" vertical="center" wrapText="1"/>
      <protection locked="0"/>
    </xf>
    <xf numFmtId="0" fontId="9" fillId="3" borderId="53" xfId="3" applyFont="1" applyFill="1" applyBorder="1" applyAlignment="1" applyProtection="1">
      <alignment horizontal="center" vertical="center" wrapText="1"/>
      <protection locked="0"/>
    </xf>
    <xf numFmtId="166" fontId="2" fillId="0" borderId="49" xfId="1" applyNumberFormat="1" applyFont="1" applyBorder="1" applyAlignment="1">
      <alignment horizontal="center" vertical="center" wrapText="1"/>
    </xf>
    <xf numFmtId="166" fontId="2" fillId="0" borderId="53" xfId="1" applyNumberFormat="1" applyFont="1" applyBorder="1" applyAlignment="1">
      <alignment horizontal="center" vertical="center" wrapText="1"/>
    </xf>
    <xf numFmtId="166" fontId="7" fillId="0" borderId="16" xfId="3" applyNumberFormat="1" applyFont="1" applyBorder="1" applyAlignment="1">
      <alignment horizontal="center" vertical="center"/>
    </xf>
    <xf numFmtId="166" fontId="7" fillId="0" borderId="14" xfId="3" applyNumberFormat="1" applyFont="1" applyBorder="1" applyAlignment="1">
      <alignment horizontal="center" vertical="center"/>
    </xf>
    <xf numFmtId="0" fontId="9" fillId="0" borderId="33" xfId="3" applyFont="1" applyBorder="1" applyAlignment="1">
      <alignment horizontal="center" vertical="center" textRotation="90" wrapText="1"/>
    </xf>
    <xf numFmtId="0" fontId="9" fillId="0" borderId="55" xfId="3" applyFont="1" applyBorder="1" applyAlignment="1">
      <alignment horizontal="center" vertical="center" textRotation="90" wrapText="1"/>
    </xf>
    <xf numFmtId="0" fontId="9" fillId="0" borderId="35" xfId="3" applyFont="1" applyBorder="1" applyAlignment="1">
      <alignment horizontal="center" vertical="center" textRotation="90" wrapText="1"/>
    </xf>
    <xf numFmtId="0" fontId="23" fillId="0" borderId="46" xfId="3" applyFont="1" applyBorder="1" applyAlignment="1">
      <alignment horizontal="left" vertical="center" wrapText="1" indent="1"/>
    </xf>
    <xf numFmtId="0" fontId="23" fillId="0" borderId="0" xfId="3" applyFont="1" applyAlignment="1">
      <alignment horizontal="left" vertical="center" wrapText="1" indent="1"/>
    </xf>
    <xf numFmtId="0" fontId="23" fillId="0" borderId="44" xfId="3" applyFont="1" applyBorder="1" applyAlignment="1">
      <alignment horizontal="center" vertical="center" wrapText="1"/>
    </xf>
    <xf numFmtId="0" fontId="23" fillId="0" borderId="45" xfId="3" applyFont="1" applyBorder="1" applyAlignment="1">
      <alignment horizontal="center" vertical="center" wrapText="1"/>
    </xf>
    <xf numFmtId="0" fontId="23" fillId="0" borderId="47" xfId="3" applyFont="1" applyBorder="1" applyAlignment="1">
      <alignment horizontal="center" vertical="center" wrapText="1"/>
    </xf>
    <xf numFmtId="0" fontId="23" fillId="0" borderId="48" xfId="3" applyFont="1" applyBorder="1" applyAlignment="1">
      <alignment horizontal="center" vertical="center" wrapText="1"/>
    </xf>
    <xf numFmtId="0" fontId="23" fillId="0" borderId="52" xfId="3" applyFont="1" applyBorder="1" applyAlignment="1">
      <alignment horizontal="center" vertical="center" wrapText="1"/>
    </xf>
    <xf numFmtId="0" fontId="23" fillId="0" borderId="53" xfId="3" applyFont="1" applyBorder="1" applyAlignment="1">
      <alignment horizontal="center" vertical="center" wrapText="1"/>
    </xf>
    <xf numFmtId="0" fontId="14" fillId="0" borderId="44" xfId="3" applyFont="1" applyBorder="1" applyAlignment="1">
      <alignment horizontal="center" vertical="center" wrapText="1"/>
    </xf>
    <xf numFmtId="0" fontId="14" fillId="0" borderId="47" xfId="3" applyFont="1" applyBorder="1" applyAlignment="1">
      <alignment horizontal="center" vertical="center" wrapText="1"/>
    </xf>
    <xf numFmtId="0" fontId="14" fillId="0" borderId="52" xfId="3" applyFont="1" applyBorder="1" applyAlignment="1">
      <alignment horizontal="center" vertical="center" wrapText="1"/>
    </xf>
    <xf numFmtId="166" fontId="3" fillId="0" borderId="45" xfId="1" applyNumberFormat="1" applyFont="1" applyBorder="1" applyAlignment="1">
      <alignment horizontal="center" vertical="center" wrapText="1"/>
    </xf>
    <xf numFmtId="166" fontId="3" fillId="0" borderId="48" xfId="1" applyNumberFormat="1" applyFont="1" applyBorder="1" applyAlignment="1">
      <alignment horizontal="center" vertical="center" wrapText="1"/>
    </xf>
    <xf numFmtId="166" fontId="3" fillId="0" borderId="53" xfId="1" applyNumberFormat="1" applyFont="1" applyBorder="1" applyAlignment="1">
      <alignment horizontal="center" vertical="center" wrapText="1"/>
    </xf>
    <xf numFmtId="0" fontId="12" fillId="0" borderId="46" xfId="3" applyFont="1" applyBorder="1" applyAlignment="1">
      <alignment horizontal="left" vertical="center" wrapText="1" indent="1"/>
    </xf>
    <xf numFmtId="0" fontId="12" fillId="0" borderId="45" xfId="3" applyFont="1" applyBorder="1" applyAlignment="1">
      <alignment horizontal="left" vertical="center" wrapText="1" indent="1"/>
    </xf>
    <xf numFmtId="0" fontId="15" fillId="0" borderId="44" xfId="3" applyFont="1" applyBorder="1" applyAlignment="1">
      <alignment horizontal="center" vertical="center" wrapText="1"/>
    </xf>
    <xf numFmtId="0" fontId="15" fillId="0" borderId="45" xfId="3" applyFont="1" applyBorder="1" applyAlignment="1">
      <alignment horizontal="center" vertical="center" wrapText="1"/>
    </xf>
    <xf numFmtId="0" fontId="15" fillId="0" borderId="52" xfId="3" applyFont="1" applyBorder="1" applyAlignment="1">
      <alignment horizontal="center" vertical="center" wrapText="1"/>
    </xf>
    <xf numFmtId="0" fontId="15" fillId="0" borderId="53" xfId="3" applyFont="1" applyBorder="1" applyAlignment="1">
      <alignment horizontal="center" vertical="center" wrapText="1"/>
    </xf>
    <xf numFmtId="0" fontId="14" fillId="0" borderId="8" xfId="3" applyFont="1" applyBorder="1" applyAlignment="1">
      <alignment horizontal="center" vertical="center" wrapText="1"/>
    </xf>
    <xf numFmtId="0" fontId="14" fillId="0" borderId="43" xfId="3" applyFont="1" applyBorder="1" applyAlignment="1">
      <alignment horizontal="center" vertical="center" wrapText="1"/>
    </xf>
    <xf numFmtId="0" fontId="25" fillId="0" borderId="57" xfId="3" applyFont="1" applyBorder="1" applyAlignment="1">
      <alignment horizontal="center" vertical="center" wrapText="1"/>
    </xf>
    <xf numFmtId="0" fontId="1" fillId="0" borderId="5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" fillId="0" borderId="6" xfId="3" applyFont="1" applyBorder="1" applyAlignment="1">
      <alignment horizontal="center" vertical="center" wrapText="1"/>
    </xf>
    <xf numFmtId="0" fontId="25" fillId="0" borderId="5" xfId="3" applyFont="1" applyBorder="1" applyAlignment="1">
      <alignment horizontal="center" vertical="center" wrapText="1"/>
    </xf>
    <xf numFmtId="0" fontId="23" fillId="0" borderId="58" xfId="3" applyFont="1" applyBorder="1" applyAlignment="1">
      <alignment horizontal="center" vertical="center" wrapText="1"/>
    </xf>
    <xf numFmtId="9" fontId="25" fillId="0" borderId="59" xfId="3" applyNumberFormat="1" applyFont="1" applyBorder="1" applyAlignment="1">
      <alignment horizontal="center" vertical="center" wrapText="1"/>
    </xf>
    <xf numFmtId="0" fontId="1" fillId="0" borderId="1" xfId="3" applyFont="1" applyBorder="1" applyAlignment="1">
      <alignment horizontal="center" vertical="center" wrapText="1"/>
    </xf>
    <xf numFmtId="166" fontId="2" fillId="2" borderId="33" xfId="1" applyNumberFormat="1" applyFont="1" applyFill="1" applyBorder="1" applyAlignment="1" applyProtection="1">
      <alignment horizontal="center" vertical="center"/>
      <protection locked="0"/>
    </xf>
    <xf numFmtId="166" fontId="2" fillId="2" borderId="55" xfId="1" applyNumberFormat="1" applyFont="1" applyFill="1" applyBorder="1" applyAlignment="1" applyProtection="1">
      <alignment horizontal="center" vertical="center"/>
      <protection locked="0"/>
    </xf>
    <xf numFmtId="166" fontId="2" fillId="2" borderId="35" xfId="1" applyNumberFormat="1" applyFont="1" applyFill="1" applyBorder="1" applyAlignment="1" applyProtection="1">
      <alignment horizontal="center" vertical="center"/>
      <protection locked="0"/>
    </xf>
    <xf numFmtId="0" fontId="22" fillId="0" borderId="44" xfId="3" applyFont="1" applyBorder="1" applyAlignment="1">
      <alignment horizontal="center" vertical="center"/>
    </xf>
    <xf numFmtId="0" fontId="22" fillId="0" borderId="45" xfId="3" applyFont="1" applyBorder="1" applyAlignment="1">
      <alignment horizontal="center" vertical="center"/>
    </xf>
    <xf numFmtId="0" fontId="22" fillId="0" borderId="39" xfId="3" applyFont="1" applyBorder="1" applyAlignment="1">
      <alignment horizontal="center" vertical="center" wrapText="1"/>
    </xf>
    <xf numFmtId="0" fontId="22" fillId="0" borderId="19" xfId="3" applyFont="1" applyBorder="1" applyAlignment="1">
      <alignment horizontal="center" vertical="center" wrapText="1"/>
    </xf>
    <xf numFmtId="0" fontId="22" fillId="0" borderId="25" xfId="3" applyFont="1" applyBorder="1" applyAlignment="1">
      <alignment horizontal="center" vertical="center" wrapText="1"/>
    </xf>
    <xf numFmtId="0" fontId="9" fillId="0" borderId="39" xfId="3" applyFont="1" applyBorder="1" applyAlignment="1">
      <alignment horizontal="center" vertical="center" textRotation="90" wrapText="1"/>
    </xf>
    <xf numFmtId="0" fontId="9" fillId="0" borderId="40" xfId="3" applyFont="1" applyBorder="1" applyAlignment="1">
      <alignment horizontal="center" vertical="center" textRotation="90" wrapText="1"/>
    </xf>
    <xf numFmtId="0" fontId="9" fillId="0" borderId="50" xfId="3" applyFont="1" applyBorder="1" applyAlignment="1">
      <alignment horizontal="center" vertical="center" textRotation="90" wrapText="1"/>
    </xf>
    <xf numFmtId="0" fontId="9" fillId="0" borderId="51" xfId="3" applyFont="1" applyBorder="1" applyAlignment="1">
      <alignment horizontal="center" vertical="center" textRotation="90" wrapText="1"/>
    </xf>
    <xf numFmtId="0" fontId="14" fillId="0" borderId="21" xfId="3" applyFont="1" applyBorder="1" applyAlignment="1">
      <alignment horizontal="left" vertical="top" wrapText="1" indent="1"/>
    </xf>
    <xf numFmtId="0" fontId="14" fillId="0" borderId="46" xfId="3" applyFont="1" applyBorder="1" applyAlignment="1">
      <alignment horizontal="left" vertical="top" wrapText="1" indent="1"/>
    </xf>
    <xf numFmtId="0" fontId="14" fillId="0" borderId="7" xfId="3" applyFont="1" applyBorder="1" applyAlignment="1">
      <alignment horizontal="left" vertical="top" wrapText="1" indent="1"/>
    </xf>
    <xf numFmtId="0" fontId="14" fillId="0" borderId="0" xfId="3" applyFont="1" applyAlignment="1">
      <alignment horizontal="left" vertical="top" wrapText="1" indent="1"/>
    </xf>
    <xf numFmtId="0" fontId="16" fillId="0" borderId="44" xfId="3" applyFont="1" applyBorder="1" applyAlignment="1">
      <alignment vertical="center" wrapText="1"/>
    </xf>
    <xf numFmtId="0" fontId="16" fillId="0" borderId="45" xfId="3" applyFont="1" applyBorder="1" applyAlignment="1">
      <alignment vertical="center" wrapText="1"/>
    </xf>
    <xf numFmtId="0" fontId="16" fillId="0" borderId="47" xfId="3" applyFont="1" applyBorder="1" applyAlignment="1">
      <alignment vertical="center" wrapText="1"/>
    </xf>
    <xf numFmtId="0" fontId="16" fillId="0" borderId="48" xfId="3" applyFont="1" applyBorder="1" applyAlignment="1">
      <alignment vertical="center" wrapText="1"/>
    </xf>
    <xf numFmtId="0" fontId="16" fillId="0" borderId="52" xfId="3" applyFont="1" applyBorder="1" applyAlignment="1">
      <alignment vertical="center" wrapText="1"/>
    </xf>
    <xf numFmtId="0" fontId="16" fillId="0" borderId="53" xfId="3" applyFont="1" applyBorder="1" applyAlignment="1">
      <alignment vertical="center" wrapText="1"/>
    </xf>
    <xf numFmtId="0" fontId="14" fillId="0" borderId="22" xfId="3" applyFont="1" applyBorder="1" applyAlignment="1">
      <alignment horizontal="center" vertical="center" wrapText="1"/>
    </xf>
    <xf numFmtId="0" fontId="14" fillId="0" borderId="37" xfId="3" applyFont="1" applyBorder="1" applyAlignment="1">
      <alignment horizontal="center" vertical="center" wrapText="1"/>
    </xf>
    <xf numFmtId="166" fontId="2" fillId="2" borderId="42" xfId="1" applyNumberFormat="1" applyFont="1" applyFill="1" applyBorder="1" applyAlignment="1">
      <alignment horizontal="center" vertical="center"/>
    </xf>
    <xf numFmtId="166" fontId="2" fillId="2" borderId="26" xfId="1" applyNumberFormat="1" applyFont="1" applyFill="1" applyBorder="1" applyAlignment="1">
      <alignment horizontal="center" vertical="center"/>
    </xf>
    <xf numFmtId="166" fontId="3" fillId="0" borderId="28" xfId="1" applyNumberFormat="1" applyFont="1" applyBorder="1" applyAlignment="1">
      <alignment horizontal="center" vertical="center" wrapText="1"/>
    </xf>
    <xf numFmtId="166" fontId="3" fillId="0" borderId="49" xfId="1" applyNumberFormat="1" applyFont="1" applyBorder="1" applyAlignment="1">
      <alignment horizontal="center" vertical="center" wrapText="1"/>
    </xf>
    <xf numFmtId="166" fontId="3" fillId="0" borderId="30" xfId="1" applyNumberFormat="1" applyFont="1" applyBorder="1" applyAlignment="1">
      <alignment horizontal="center" vertical="center" wrapText="1"/>
    </xf>
    <xf numFmtId="0" fontId="2" fillId="0" borderId="2" xfId="5" applyFont="1" applyBorder="1" applyAlignment="1" applyProtection="1">
      <alignment horizontal="left"/>
      <protection locked="0"/>
    </xf>
    <xf numFmtId="0" fontId="2" fillId="0" borderId="2" xfId="5" applyFont="1" applyBorder="1" applyProtection="1">
      <protection locked="0"/>
    </xf>
    <xf numFmtId="14" fontId="2" fillId="0" borderId="1" xfId="5" applyNumberFormat="1" applyFont="1" applyBorder="1" applyAlignment="1" applyProtection="1">
      <alignment horizontal="center"/>
      <protection locked="0"/>
    </xf>
    <xf numFmtId="0" fontId="2" fillId="0" borderId="1" xfId="5" applyFont="1" applyBorder="1" applyAlignment="1" applyProtection="1">
      <alignment horizontal="left"/>
      <protection locked="0"/>
    </xf>
    <xf numFmtId="0" fontId="2" fillId="0" borderId="1" xfId="5" applyFont="1" applyBorder="1" applyProtection="1">
      <protection locked="0"/>
    </xf>
    <xf numFmtId="0" fontId="2" fillId="0" borderId="2" xfId="0" applyFont="1" applyBorder="1" applyAlignment="1">
      <alignment horizontal="left"/>
    </xf>
    <xf numFmtId="0" fontId="2" fillId="0" borderId="2" xfId="0" applyFont="1" applyBorder="1"/>
    <xf numFmtId="0" fontId="2" fillId="0" borderId="13" xfId="0" applyFont="1" applyBorder="1"/>
    <xf numFmtId="0" fontId="2" fillId="0" borderId="1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0" borderId="10" xfId="0" applyFont="1" applyBorder="1"/>
    <xf numFmtId="0" fontId="2" fillId="0" borderId="9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8" xfId="0" applyFont="1" applyBorder="1" applyAlignment="1">
      <alignment horizont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shrinkToFit="1"/>
    </xf>
    <xf numFmtId="0" fontId="2" fillId="0" borderId="2" xfId="0" applyFont="1" applyBorder="1" applyAlignment="1">
      <alignment horizontal="left" vertical="center" shrinkToFit="1"/>
    </xf>
    <xf numFmtId="0" fontId="2" fillId="0" borderId="13" xfId="0" applyFont="1" applyBorder="1" applyAlignment="1">
      <alignment horizontal="left" vertical="center" shrinkToFit="1"/>
    </xf>
    <xf numFmtId="0" fontId="2" fillId="0" borderId="11" xfId="0" applyFont="1" applyBorder="1" applyAlignment="1">
      <alignment vertical="center" shrinkToFit="1"/>
    </xf>
    <xf numFmtId="0" fontId="2" fillId="0" borderId="13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1" xfId="5" applyFont="1" applyBorder="1" applyAlignment="1" applyProtection="1">
      <alignment horizontal="left" vertical="center" wrapText="1"/>
      <protection locked="0"/>
    </xf>
    <xf numFmtId="0" fontId="2" fillId="0" borderId="2" xfId="5" applyFont="1" applyBorder="1" applyAlignment="1" applyProtection="1">
      <alignment horizontal="left" vertical="center" wrapText="1"/>
      <protection locked="0"/>
    </xf>
    <xf numFmtId="0" fontId="2" fillId="0" borderId="2" xfId="0" applyFont="1" applyBorder="1" applyAlignment="1">
      <alignment vertical="center" shrinkToFit="1"/>
    </xf>
    <xf numFmtId="0" fontId="2" fillId="0" borderId="13" xfId="0" applyFont="1" applyBorder="1" applyAlignment="1">
      <alignment vertical="center" shrinkToFit="1"/>
    </xf>
    <xf numFmtId="0" fontId="2" fillId="0" borderId="7" xfId="0" applyFont="1" applyBorder="1"/>
    <xf numFmtId="0" fontId="2" fillId="0" borderId="0" xfId="0" applyFont="1"/>
    <xf numFmtId="0" fontId="2" fillId="0" borderId="8" xfId="0" applyFont="1" applyBorder="1"/>
    <xf numFmtId="0" fontId="2" fillId="0" borderId="9" xfId="0" applyFont="1" applyBorder="1"/>
    <xf numFmtId="0" fontId="10" fillId="0" borderId="23" xfId="5" applyFont="1" applyBorder="1" applyAlignment="1">
      <alignment horizontal="left" vertical="center" wrapText="1"/>
    </xf>
    <xf numFmtId="0" fontId="10" fillId="0" borderId="38" xfId="5" applyFont="1" applyBorder="1" applyAlignment="1">
      <alignment horizontal="left" vertical="center" wrapText="1"/>
    </xf>
    <xf numFmtId="0" fontId="10" fillId="0" borderId="24" xfId="5" applyFont="1" applyBorder="1" applyAlignment="1">
      <alignment horizontal="left" vertical="center" wrapText="1"/>
    </xf>
    <xf numFmtId="0" fontId="9" fillId="0" borderId="39" xfId="0" applyFont="1" applyBorder="1" applyAlignment="1">
      <alignment horizontal="center" vertical="center" textRotation="90" wrapText="1"/>
    </xf>
    <xf numFmtId="0" fontId="9" fillId="0" borderId="41" xfId="0" applyFont="1" applyBorder="1" applyAlignment="1">
      <alignment horizontal="center" vertical="center" textRotation="90" wrapText="1"/>
    </xf>
    <xf numFmtId="0" fontId="9" fillId="0" borderId="54" xfId="0" applyFont="1" applyBorder="1" applyAlignment="1">
      <alignment horizontal="center" vertical="center" textRotation="90" wrapText="1"/>
    </xf>
    <xf numFmtId="0" fontId="9" fillId="0" borderId="56" xfId="0" applyFont="1" applyBorder="1" applyAlignment="1">
      <alignment horizontal="center" vertical="center" textRotation="90" wrapText="1"/>
    </xf>
    <xf numFmtId="0" fontId="11" fillId="0" borderId="19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1" fillId="0" borderId="23" xfId="5" applyFont="1" applyBorder="1" applyAlignment="1">
      <alignment horizontal="left" vertical="top" wrapText="1"/>
    </xf>
    <xf numFmtId="0" fontId="11" fillId="0" borderId="38" xfId="5" applyFont="1" applyBorder="1" applyAlignment="1">
      <alignment horizontal="left" vertical="top" wrapText="1"/>
    </xf>
    <xf numFmtId="0" fontId="11" fillId="0" borderId="24" xfId="5" applyFont="1" applyBorder="1" applyAlignment="1">
      <alignment horizontal="left" vertical="top" wrapText="1"/>
    </xf>
    <xf numFmtId="0" fontId="11" fillId="0" borderId="11" xfId="5" applyFont="1" applyBorder="1" applyAlignment="1">
      <alignment horizontal="left" vertical="center" wrapText="1"/>
    </xf>
    <xf numFmtId="0" fontId="11" fillId="0" borderId="2" xfId="5" applyFont="1" applyBorder="1" applyAlignment="1">
      <alignment horizontal="left" vertical="center" wrapText="1"/>
    </xf>
    <xf numFmtId="0" fontId="11" fillId="0" borderId="13" xfId="5" applyFont="1" applyBorder="1" applyAlignment="1">
      <alignment horizontal="left" vertical="center" wrapText="1"/>
    </xf>
  </cellXfs>
  <cellStyles count="8">
    <cellStyle name="Dezimal 2" xfId="2" xr:uid="{00000000-0005-0000-0000-000000000000}"/>
    <cellStyle name="Dezimal 2 2" xfId="4" xr:uid="{00000000-0005-0000-0000-000001000000}"/>
    <cellStyle name="Excel Built-in Normal" xfId="6" xr:uid="{00000000-0005-0000-0000-000002000000}"/>
    <cellStyle name="Normal" xfId="0" builtinId="0"/>
    <cellStyle name="Normal 2" xfId="5" xr:uid="{00000000-0005-0000-0000-000004000000}"/>
    <cellStyle name="Normal 3" xfId="7" xr:uid="{00000000-0005-0000-0000-000005000000}"/>
    <cellStyle name="Standard 2" xfId="3" xr:uid="{00000000-0005-0000-0000-000006000000}"/>
    <cellStyle name="Tusental" xfId="1" builtinId="3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otokoll%202019\Protokoll%202020\Protokoll_2020_lag_junio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gnu/Downloads/Protokoll_2020_lag_senior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Häst, lag"/>
      <sheetName val="Lag grund B"/>
      <sheetName val="Lag kür tekn junior"/>
      <sheetName val="Lag kür art"/>
      <sheetName val="3 domare juniorlag"/>
      <sheetName val="4 domare juniorlag"/>
    </sheetNames>
    <sheetDataSet>
      <sheetData sheetId="0">
        <row r="5">
          <cell r="H5">
            <v>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Häst, lag"/>
      <sheetName val="Lag grund A"/>
      <sheetName val="Lag kür tekn sr"/>
      <sheetName val="Lag kür art"/>
      <sheetName val="3 domare, seniorlag"/>
      <sheetName val="4 domare, seniorlag"/>
    </sheetNames>
    <sheetDataSet>
      <sheetData sheetId="0">
        <row r="5">
          <cell r="H5">
            <v>1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0"/>
  <sheetViews>
    <sheetView topLeftCell="F1" workbookViewId="0">
      <selection activeCell="J15" sqref="J15:J17"/>
    </sheetView>
  </sheetViews>
  <sheetFormatPr defaultRowHeight="12.75" x14ac:dyDescent="0.35"/>
  <cols>
    <col min="1" max="18" width="15.73046875" customWidth="1"/>
  </cols>
  <sheetData>
    <row r="1" spans="1:8" s="125" customFormat="1" ht="31.5" customHeight="1" x14ac:dyDescent="0.6">
      <c r="A1" s="124" t="s">
        <v>95</v>
      </c>
    </row>
    <row r="2" spans="1:8" s="125" customFormat="1" ht="20.25" customHeight="1" x14ac:dyDescent="0.35">
      <c r="A2" s="125" t="s">
        <v>96</v>
      </c>
    </row>
    <row r="3" spans="1:8" s="125" customFormat="1" ht="18" customHeight="1" x14ac:dyDescent="0.35">
      <c r="A3" s="125" t="s">
        <v>99</v>
      </c>
    </row>
    <row r="4" spans="1:8" s="137" customFormat="1" ht="21.75" customHeight="1" x14ac:dyDescent="0.35">
      <c r="A4" s="137" t="s">
        <v>112</v>
      </c>
    </row>
    <row r="5" spans="1:8" s="137" customFormat="1" ht="18" customHeight="1" x14ac:dyDescent="0.35">
      <c r="A5" s="137" t="s">
        <v>111</v>
      </c>
    </row>
    <row r="6" spans="1:8" s="137" customFormat="1" x14ac:dyDescent="0.35"/>
    <row r="7" spans="1:8" s="125" customFormat="1" x14ac:dyDescent="0.35"/>
    <row r="8" spans="1:8" s="111" customFormat="1" ht="17.25" x14ac:dyDescent="0.45">
      <c r="A8" s="111" t="s">
        <v>64</v>
      </c>
    </row>
    <row r="10" spans="1:8" x14ac:dyDescent="0.35">
      <c r="A10" s="112"/>
    </row>
    <row r="11" spans="1:8" x14ac:dyDescent="0.35">
      <c r="A11" s="112"/>
    </row>
    <row r="12" spans="1:8" s="113" customFormat="1" ht="13.15" x14ac:dyDescent="0.4">
      <c r="A12" s="113" t="s">
        <v>65</v>
      </c>
    </row>
    <row r="13" spans="1:8" ht="19.5" customHeight="1" x14ac:dyDescent="0.35">
      <c r="B13" s="114" t="s">
        <v>66</v>
      </c>
      <c r="C13" s="112"/>
      <c r="F13" s="114" t="s">
        <v>67</v>
      </c>
    </row>
    <row r="14" spans="1:8" ht="20.100000000000001" customHeight="1" x14ac:dyDescent="0.4">
      <c r="B14" s="113" t="s">
        <v>68</v>
      </c>
      <c r="C14" s="113" t="s">
        <v>69</v>
      </c>
      <c r="D14" s="113" t="s">
        <v>70</v>
      </c>
      <c r="E14" s="113"/>
      <c r="F14" s="113" t="s">
        <v>68</v>
      </c>
      <c r="G14" s="113" t="s">
        <v>69</v>
      </c>
      <c r="H14" s="113" t="s">
        <v>70</v>
      </c>
    </row>
    <row r="15" spans="1:8" ht="24.95" customHeight="1" x14ac:dyDescent="0.35">
      <c r="A15" s="112" t="s">
        <v>76</v>
      </c>
      <c r="B15" s="115" t="s">
        <v>75</v>
      </c>
      <c r="C15" s="115" t="s">
        <v>105</v>
      </c>
      <c r="D15" s="115" t="s">
        <v>105</v>
      </c>
      <c r="E15" s="116"/>
      <c r="F15" s="115" t="s">
        <v>75</v>
      </c>
      <c r="G15" s="115" t="s">
        <v>109</v>
      </c>
      <c r="H15" s="115" t="s">
        <v>79</v>
      </c>
    </row>
    <row r="16" spans="1:8" ht="24.95" customHeight="1" x14ac:dyDescent="0.35">
      <c r="A16" s="112"/>
      <c r="B16" s="117"/>
      <c r="C16" s="117"/>
      <c r="D16" s="117"/>
      <c r="E16" s="136"/>
      <c r="F16" s="117"/>
      <c r="G16" s="117"/>
      <c r="H16" s="117"/>
    </row>
    <row r="17" spans="1:9" s="112" customFormat="1" ht="24.95" customHeight="1" x14ac:dyDescent="0.35">
      <c r="A17" s="112" t="s">
        <v>77</v>
      </c>
      <c r="B17" s="115" t="s">
        <v>75</v>
      </c>
      <c r="C17" s="115" t="s">
        <v>106</v>
      </c>
      <c r="D17" s="115" t="s">
        <v>106</v>
      </c>
      <c r="E17" s="116"/>
      <c r="F17" s="115" t="s">
        <v>75</v>
      </c>
      <c r="G17" s="115" t="s">
        <v>110</v>
      </c>
      <c r="H17" s="115" t="s">
        <v>79</v>
      </c>
    </row>
    <row r="18" spans="1:9" ht="24.95" customHeight="1" x14ac:dyDescent="0.35">
      <c r="A18" s="112"/>
      <c r="B18" s="117"/>
      <c r="C18" s="117"/>
      <c r="D18" s="117"/>
      <c r="E18" s="136"/>
      <c r="F18" s="117"/>
      <c r="G18" s="117"/>
      <c r="H18" s="117"/>
    </row>
    <row r="19" spans="1:9" ht="24.95" customHeight="1" x14ac:dyDescent="0.35">
      <c r="A19" s="112" t="s">
        <v>78</v>
      </c>
      <c r="B19" s="115" t="s">
        <v>75</v>
      </c>
      <c r="C19" s="115" t="s">
        <v>107</v>
      </c>
      <c r="D19" s="115" t="s">
        <v>107</v>
      </c>
      <c r="E19" s="116"/>
      <c r="F19" s="115" t="s">
        <v>75</v>
      </c>
      <c r="G19" s="115" t="s">
        <v>97</v>
      </c>
      <c r="H19" s="115" t="s">
        <v>79</v>
      </c>
    </row>
    <row r="20" spans="1:9" ht="24.95" customHeight="1" x14ac:dyDescent="0.35">
      <c r="A20" s="112"/>
      <c r="B20" s="118"/>
      <c r="C20" s="118"/>
      <c r="D20" s="118"/>
      <c r="E20" s="136"/>
      <c r="F20" s="118"/>
      <c r="G20" s="118"/>
      <c r="H20" s="118"/>
    </row>
    <row r="22" spans="1:9" s="113" customFormat="1" ht="13.15" x14ac:dyDescent="0.4">
      <c r="A22" s="113" t="s">
        <v>71</v>
      </c>
    </row>
    <row r="23" spans="1:9" ht="20.100000000000001" customHeight="1" x14ac:dyDescent="0.35">
      <c r="B23" s="114" t="s">
        <v>66</v>
      </c>
      <c r="C23" s="112"/>
      <c r="F23" s="114" t="s">
        <v>67</v>
      </c>
    </row>
    <row r="24" spans="1:9" ht="20.100000000000001" customHeight="1" x14ac:dyDescent="0.4">
      <c r="B24" s="113" t="s">
        <v>68</v>
      </c>
      <c r="C24" s="113" t="s">
        <v>69</v>
      </c>
      <c r="D24" s="113" t="s">
        <v>70</v>
      </c>
      <c r="E24" s="113" t="s">
        <v>72</v>
      </c>
      <c r="F24" s="113" t="s">
        <v>68</v>
      </c>
      <c r="G24" s="113" t="s">
        <v>69</v>
      </c>
      <c r="H24" s="113" t="s">
        <v>70</v>
      </c>
      <c r="I24" s="113" t="s">
        <v>72</v>
      </c>
    </row>
    <row r="25" spans="1:9" ht="24.95" customHeight="1" x14ac:dyDescent="0.35">
      <c r="A25" s="112" t="s">
        <v>76</v>
      </c>
      <c r="B25" s="115" t="s">
        <v>75</v>
      </c>
      <c r="C25" s="115" t="s">
        <v>105</v>
      </c>
      <c r="D25" s="115" t="s">
        <v>105</v>
      </c>
      <c r="E25" s="115" t="s">
        <v>105</v>
      </c>
      <c r="F25" s="115" t="s">
        <v>75</v>
      </c>
      <c r="G25" s="115" t="s">
        <v>109</v>
      </c>
      <c r="H25" s="115" t="s">
        <v>79</v>
      </c>
      <c r="I25" s="115" t="s">
        <v>109</v>
      </c>
    </row>
    <row r="26" spans="1:9" ht="24.95" customHeight="1" x14ac:dyDescent="0.35">
      <c r="A26" s="112"/>
      <c r="B26" s="117"/>
      <c r="C26" s="117"/>
      <c r="D26" s="117"/>
      <c r="E26" s="117"/>
      <c r="F26" s="117"/>
      <c r="G26" s="117"/>
      <c r="H26" s="117"/>
      <c r="I26" s="117"/>
    </row>
    <row r="27" spans="1:9" s="112" customFormat="1" ht="24.95" customHeight="1" x14ac:dyDescent="0.35">
      <c r="A27" s="112" t="s">
        <v>77</v>
      </c>
      <c r="B27" s="115" t="s">
        <v>75</v>
      </c>
      <c r="C27" s="115" t="s">
        <v>106</v>
      </c>
      <c r="D27" s="115" t="s">
        <v>106</v>
      </c>
      <c r="E27" s="115" t="s">
        <v>106</v>
      </c>
      <c r="F27" s="115" t="s">
        <v>75</v>
      </c>
      <c r="G27" s="115" t="s">
        <v>110</v>
      </c>
      <c r="H27" s="115" t="s">
        <v>79</v>
      </c>
      <c r="I27" s="115" t="s">
        <v>110</v>
      </c>
    </row>
    <row r="28" spans="1:9" ht="24.95" customHeight="1" x14ac:dyDescent="0.35">
      <c r="A28" s="112"/>
      <c r="B28" s="117"/>
      <c r="C28" s="117"/>
      <c r="D28" s="117"/>
      <c r="E28" s="117"/>
      <c r="F28" s="117"/>
      <c r="G28" s="117"/>
      <c r="H28" s="117"/>
      <c r="I28" s="117"/>
    </row>
    <row r="29" spans="1:9" ht="24.95" customHeight="1" x14ac:dyDescent="0.35">
      <c r="A29" s="112" t="s">
        <v>78</v>
      </c>
      <c r="B29" s="115" t="s">
        <v>75</v>
      </c>
      <c r="C29" s="115" t="s">
        <v>107</v>
      </c>
      <c r="D29" s="115" t="s">
        <v>107</v>
      </c>
      <c r="E29" s="115" t="s">
        <v>107</v>
      </c>
      <c r="F29" s="115" t="s">
        <v>75</v>
      </c>
      <c r="G29" s="115" t="s">
        <v>97</v>
      </c>
      <c r="H29" s="115" t="s">
        <v>79</v>
      </c>
      <c r="I29" s="115" t="s">
        <v>97</v>
      </c>
    </row>
    <row r="30" spans="1:9" x14ac:dyDescent="0.35">
      <c r="B30" s="136"/>
      <c r="C30" s="136"/>
      <c r="D30" s="136"/>
      <c r="E30" s="136"/>
    </row>
    <row r="31" spans="1:9" x14ac:dyDescent="0.35">
      <c r="B31" s="136"/>
      <c r="C31" s="136"/>
      <c r="D31" s="136"/>
      <c r="E31" s="136"/>
    </row>
    <row r="32" spans="1:9" x14ac:dyDescent="0.35">
      <c r="B32" s="136"/>
      <c r="C32" s="136"/>
      <c r="D32" s="136"/>
      <c r="E32" s="136"/>
    </row>
    <row r="33" spans="1:17" ht="13.15" x14ac:dyDescent="0.4">
      <c r="A33" s="113" t="s">
        <v>73</v>
      </c>
    </row>
    <row r="35" spans="1:17" ht="19.5" customHeight="1" x14ac:dyDescent="0.35">
      <c r="B35" s="114" t="s">
        <v>66</v>
      </c>
      <c r="C35" s="112"/>
      <c r="F35" s="114" t="s">
        <v>67</v>
      </c>
      <c r="J35" s="114" t="s">
        <v>74</v>
      </c>
    </row>
    <row r="36" spans="1:17" ht="20.100000000000001" customHeight="1" x14ac:dyDescent="0.4">
      <c r="B36" s="113" t="s">
        <v>68</v>
      </c>
      <c r="C36" s="113" t="s">
        <v>69</v>
      </c>
      <c r="D36" s="113" t="s">
        <v>70</v>
      </c>
      <c r="E36" s="113"/>
      <c r="F36" s="113" t="s">
        <v>68</v>
      </c>
      <c r="G36" s="113" t="s">
        <v>69</v>
      </c>
      <c r="H36" s="113" t="s">
        <v>70</v>
      </c>
      <c r="J36" s="113" t="s">
        <v>68</v>
      </c>
      <c r="K36" s="113" t="s">
        <v>69</v>
      </c>
      <c r="L36" s="113" t="s">
        <v>70</v>
      </c>
    </row>
    <row r="37" spans="1:17" ht="24.95" customHeight="1" x14ac:dyDescent="0.35">
      <c r="A37" s="112" t="s">
        <v>76</v>
      </c>
      <c r="B37" s="115" t="s">
        <v>75</v>
      </c>
      <c r="C37" s="115" t="s">
        <v>105</v>
      </c>
      <c r="D37" s="115" t="s">
        <v>105</v>
      </c>
      <c r="E37" s="116"/>
      <c r="F37" s="115" t="s">
        <v>75</v>
      </c>
      <c r="G37" s="115" t="s">
        <v>109</v>
      </c>
      <c r="H37" s="115" t="s">
        <v>79</v>
      </c>
      <c r="J37" s="115" t="s">
        <v>75</v>
      </c>
      <c r="K37" s="115" t="s">
        <v>109</v>
      </c>
      <c r="L37" s="115" t="s">
        <v>79</v>
      </c>
    </row>
    <row r="38" spans="1:17" ht="24.95" customHeight="1" x14ac:dyDescent="0.35">
      <c r="A38" s="112"/>
      <c r="B38" s="117"/>
      <c r="C38" s="117"/>
      <c r="D38" s="117"/>
      <c r="E38" s="136"/>
      <c r="F38" s="117"/>
      <c r="G38" s="117"/>
      <c r="H38" s="117"/>
      <c r="J38" s="117"/>
      <c r="K38" s="117"/>
      <c r="L38" s="117"/>
    </row>
    <row r="39" spans="1:17" s="112" customFormat="1" ht="24.95" customHeight="1" x14ac:dyDescent="0.35">
      <c r="A39" s="112" t="s">
        <v>77</v>
      </c>
      <c r="B39" s="115" t="s">
        <v>75</v>
      </c>
      <c r="C39" s="115" t="s">
        <v>106</v>
      </c>
      <c r="D39" s="115" t="s">
        <v>106</v>
      </c>
      <c r="E39" s="116"/>
      <c r="F39" s="115" t="s">
        <v>75</v>
      </c>
      <c r="G39" s="115" t="s">
        <v>110</v>
      </c>
      <c r="H39" s="115" t="s">
        <v>79</v>
      </c>
      <c r="J39" s="115" t="s">
        <v>75</v>
      </c>
      <c r="K39" s="115" t="s">
        <v>110</v>
      </c>
      <c r="L39" s="115" t="s">
        <v>79</v>
      </c>
    </row>
    <row r="40" spans="1:17" ht="24.95" customHeight="1" x14ac:dyDescent="0.35">
      <c r="A40" s="112"/>
      <c r="B40" s="117"/>
      <c r="C40" s="117"/>
      <c r="D40" s="117"/>
      <c r="E40" s="136"/>
      <c r="F40" s="117"/>
      <c r="G40" s="117"/>
      <c r="H40" s="117"/>
      <c r="J40" s="117"/>
      <c r="K40" s="117"/>
      <c r="L40" s="117"/>
    </row>
    <row r="41" spans="1:17" ht="24.95" customHeight="1" x14ac:dyDescent="0.35">
      <c r="A41" s="112" t="s">
        <v>78</v>
      </c>
      <c r="B41" s="115" t="s">
        <v>75</v>
      </c>
      <c r="C41" s="115" t="s">
        <v>107</v>
      </c>
      <c r="D41" s="115" t="s">
        <v>107</v>
      </c>
      <c r="E41" s="116"/>
      <c r="F41" s="115" t="s">
        <v>75</v>
      </c>
      <c r="G41" s="115" t="s">
        <v>97</v>
      </c>
      <c r="H41" s="115" t="s">
        <v>79</v>
      </c>
      <c r="J41" s="115" t="s">
        <v>75</v>
      </c>
      <c r="K41" s="115" t="s">
        <v>97</v>
      </c>
      <c r="L41" s="115" t="s">
        <v>79</v>
      </c>
    </row>
    <row r="42" spans="1:17" ht="24.95" customHeight="1" x14ac:dyDescent="0.35">
      <c r="A42" s="112"/>
      <c r="B42" s="136"/>
      <c r="C42" s="136"/>
      <c r="D42" s="136"/>
      <c r="E42" s="136"/>
      <c r="F42" s="136"/>
      <c r="G42" s="136"/>
      <c r="H42" s="136"/>
      <c r="J42" s="136"/>
      <c r="K42" s="136"/>
      <c r="L42" s="136"/>
    </row>
    <row r="43" spans="1:17" ht="24.95" customHeight="1" x14ac:dyDescent="0.35">
      <c r="A43" s="112"/>
      <c r="B43" s="136"/>
      <c r="C43" s="136"/>
      <c r="D43" s="136"/>
      <c r="E43" s="136"/>
      <c r="F43" s="136"/>
      <c r="G43" s="136"/>
      <c r="H43" s="136"/>
      <c r="J43" s="136"/>
      <c r="K43" s="136"/>
      <c r="L43" s="136"/>
    </row>
    <row r="45" spans="1:17" ht="13.15" x14ac:dyDescent="0.4">
      <c r="A45" s="113" t="s">
        <v>80</v>
      </c>
    </row>
    <row r="47" spans="1:17" ht="20.100000000000001" customHeight="1" x14ac:dyDescent="0.35">
      <c r="B47" s="114" t="s">
        <v>66</v>
      </c>
      <c r="C47" s="112"/>
      <c r="F47" s="114" t="s">
        <v>67</v>
      </c>
      <c r="J47" s="114" t="s">
        <v>74</v>
      </c>
      <c r="K47" s="112"/>
      <c r="N47" s="114"/>
    </row>
    <row r="48" spans="1:17" ht="20.100000000000001" customHeight="1" x14ac:dyDescent="0.4">
      <c r="B48" s="113" t="s">
        <v>68</v>
      </c>
      <c r="C48" s="113" t="s">
        <v>69</v>
      </c>
      <c r="D48" s="113" t="s">
        <v>70</v>
      </c>
      <c r="E48" s="113" t="s">
        <v>72</v>
      </c>
      <c r="F48" s="113" t="s">
        <v>68</v>
      </c>
      <c r="G48" s="113" t="s">
        <v>69</v>
      </c>
      <c r="H48" s="113" t="s">
        <v>70</v>
      </c>
      <c r="I48" s="113" t="s">
        <v>72</v>
      </c>
      <c r="J48" s="113" t="s">
        <v>68</v>
      </c>
      <c r="K48" s="113" t="s">
        <v>69</v>
      </c>
      <c r="L48" s="113" t="s">
        <v>70</v>
      </c>
      <c r="M48" s="113" t="s">
        <v>72</v>
      </c>
      <c r="N48" s="113"/>
      <c r="O48" s="113"/>
      <c r="P48" s="113"/>
      <c r="Q48" s="113"/>
    </row>
    <row r="49" spans="1:13" ht="24.95" customHeight="1" x14ac:dyDescent="0.35">
      <c r="A49" s="112" t="s">
        <v>76</v>
      </c>
      <c r="B49" s="115" t="s">
        <v>75</v>
      </c>
      <c r="C49" s="115" t="s">
        <v>105</v>
      </c>
      <c r="D49" s="115" t="s">
        <v>105</v>
      </c>
      <c r="E49" s="115" t="s">
        <v>105</v>
      </c>
      <c r="F49" s="115" t="s">
        <v>75</v>
      </c>
      <c r="G49" s="115" t="s">
        <v>109</v>
      </c>
      <c r="H49" s="115" t="s">
        <v>79</v>
      </c>
      <c r="I49" s="115" t="s">
        <v>109</v>
      </c>
      <c r="J49" s="115" t="s">
        <v>75</v>
      </c>
      <c r="K49" s="115" t="s">
        <v>109</v>
      </c>
      <c r="L49" s="115" t="s">
        <v>79</v>
      </c>
      <c r="M49" s="115" t="s">
        <v>109</v>
      </c>
    </row>
    <row r="50" spans="1:13" ht="24.95" customHeight="1" x14ac:dyDescent="0.35">
      <c r="A50" s="112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</row>
    <row r="51" spans="1:13" s="112" customFormat="1" ht="24.95" customHeight="1" x14ac:dyDescent="0.35">
      <c r="A51" s="112" t="s">
        <v>77</v>
      </c>
      <c r="B51" s="115" t="s">
        <v>75</v>
      </c>
      <c r="C51" s="115" t="s">
        <v>106</v>
      </c>
      <c r="D51" s="115" t="s">
        <v>106</v>
      </c>
      <c r="E51" s="115" t="s">
        <v>106</v>
      </c>
      <c r="F51" s="115" t="s">
        <v>75</v>
      </c>
      <c r="G51" s="115" t="s">
        <v>110</v>
      </c>
      <c r="H51" s="115" t="s">
        <v>79</v>
      </c>
      <c r="I51" s="115" t="s">
        <v>110</v>
      </c>
      <c r="J51" s="115" t="s">
        <v>75</v>
      </c>
      <c r="K51" s="115" t="s">
        <v>110</v>
      </c>
      <c r="L51" s="115" t="s">
        <v>79</v>
      </c>
      <c r="M51" s="115" t="s">
        <v>110</v>
      </c>
    </row>
    <row r="52" spans="1:13" ht="24.95" customHeight="1" x14ac:dyDescent="0.35">
      <c r="A52" s="112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</row>
    <row r="53" spans="1:13" ht="24.95" customHeight="1" x14ac:dyDescent="0.35">
      <c r="A53" s="112" t="s">
        <v>78</v>
      </c>
      <c r="B53" s="115" t="s">
        <v>75</v>
      </c>
      <c r="C53" s="115" t="s">
        <v>107</v>
      </c>
      <c r="D53" s="115" t="s">
        <v>107</v>
      </c>
      <c r="E53" s="115" t="s">
        <v>107</v>
      </c>
      <c r="F53" s="115" t="s">
        <v>75</v>
      </c>
      <c r="G53" s="115" t="s">
        <v>97</v>
      </c>
      <c r="H53" s="115" t="s">
        <v>79</v>
      </c>
      <c r="I53" s="115" t="s">
        <v>97</v>
      </c>
      <c r="J53" s="115" t="s">
        <v>75</v>
      </c>
      <c r="K53" s="115" t="s">
        <v>97</v>
      </c>
      <c r="L53" s="115" t="s">
        <v>79</v>
      </c>
      <c r="M53" s="115" t="s">
        <v>97</v>
      </c>
    </row>
    <row r="56" spans="1:13" s="125" customFormat="1" ht="17.25" x14ac:dyDescent="0.45">
      <c r="A56" s="123" t="s">
        <v>94</v>
      </c>
    </row>
    <row r="57" spans="1:13" s="122" customFormat="1" ht="13.15" x14ac:dyDescent="0.4">
      <c r="A57" s="121"/>
      <c r="B57" s="121" t="s">
        <v>68</v>
      </c>
      <c r="C57" s="121" t="s">
        <v>69</v>
      </c>
      <c r="D57" s="121" t="s">
        <v>70</v>
      </c>
      <c r="E57" s="121" t="s">
        <v>72</v>
      </c>
      <c r="F57" s="121" t="s">
        <v>83</v>
      </c>
    </row>
    <row r="58" spans="1:13" s="120" customFormat="1" x14ac:dyDescent="0.35">
      <c r="A58" s="119" t="s">
        <v>84</v>
      </c>
      <c r="B58" s="119" t="s">
        <v>85</v>
      </c>
      <c r="C58" s="119" t="s">
        <v>86</v>
      </c>
      <c r="D58" s="119" t="s">
        <v>86</v>
      </c>
      <c r="E58" s="119" t="s">
        <v>87</v>
      </c>
      <c r="F58" s="119" t="s">
        <v>88</v>
      </c>
    </row>
    <row r="59" spans="1:13" s="120" customFormat="1" x14ac:dyDescent="0.35">
      <c r="A59" s="119" t="s">
        <v>89</v>
      </c>
      <c r="B59" s="119" t="s">
        <v>85</v>
      </c>
      <c r="C59" s="119" t="s">
        <v>90</v>
      </c>
      <c r="D59" s="119" t="s">
        <v>91</v>
      </c>
      <c r="E59" s="119" t="s">
        <v>92</v>
      </c>
      <c r="F59" s="119" t="s">
        <v>88</v>
      </c>
    </row>
    <row r="60" spans="1:13" s="120" customFormat="1" ht="25.5" x14ac:dyDescent="0.35">
      <c r="A60" s="119"/>
      <c r="B60" s="119"/>
      <c r="C60" s="119"/>
      <c r="D60" s="119"/>
      <c r="E60" s="119"/>
      <c r="F60" s="119" t="s">
        <v>93</v>
      </c>
    </row>
  </sheetData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&amp;R2019-06-01
</oddFooter>
  </headerFooter>
</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4C25329-D17D-4FF2-BF65-A450782F317F}" mc:Ignorable="x14ac xr xr2 xr3">
  <x:sheetPr>
    <x:pageSetUpPr fitToPage="1"/>
  </x:sheetPr>
  <x:dimension ref="A1:L36"/>
  <x:sheetViews>
    <x:sheetView showZeros="0" view="pageLayout" zoomScaleNormal="130" workbookViewId="0">
      <x:selection activeCell="B20" sqref="B20"/>
    </x:sheetView>
  </x:sheetViews>
  <x:sheetFormatPr defaultColWidth="9.06640625" defaultRowHeight="12.4" x14ac:dyDescent="0.3"/>
  <x:cols>
    <x:col min="1" max="1" width="5.73046875" style="43" customWidth="1"/>
    <x:col min="2" max="2" width="8.796875" style="43" customWidth="1"/>
    <x:col min="3" max="3" width="10.265625" style="43" customWidth="1"/>
    <x:col min="4" max="4" width="10.06640625" style="43" customWidth="1"/>
    <x:col min="5" max="5" width="9.796875" style="43" customWidth="1"/>
    <x:col min="6" max="7" width="9.9296875" style="43" customWidth="1"/>
    <x:col min="8" max="8" width="6.265625" style="43" customWidth="1"/>
    <x:col min="9" max="9" width="5.73046875" style="43" customWidth="1"/>
    <x:col min="10" max="11" width="7.06640625" style="43" customWidth="1"/>
    <x:col min="12" max="12" width="7.265625" style="43" customWidth="1"/>
    <x:col min="13" max="16384" width="9.06640625" style="43"/>
  </x:cols>
  <x:sheetData>
    <x:row r="1" spans="1:12" s="138" customFormat="1" ht="6" customHeight="1" thickBot="1" x14ac:dyDescent="0.35"/>
    <x:row r="2" spans="1:12" s="138" customFormat="1" ht="22.5" customHeight="1" thickBot="1" x14ac:dyDescent="0.4">
      <x:c r="A2" s="139" t="s">
        <x:v>8</x:v>
      </x:c>
      <x:c r="G2" s="140"/>
      <x:c r="H2" s="141" t="s">
        <x:v>62</x:v>
      </x:c>
      <x:c r="I2" s="142"/>
      <x:c r="J2" s="143"/>
      <x:c r="K2" s="144"/>
    </x:row>
    <x:row r="3" spans="1:12" s="138" customFormat="1" ht="16.05" customHeight="1" thickBot="1" x14ac:dyDescent="0.35">
      <x:c r="A3" s="145" t="s">
        <x:v>9</x:v>
      </x:c>
      <x:c r="G3" s="140"/>
      <x:c r="H3" s="141" t="s">
        <x:v>63</x:v>
      </x:c>
      <x:c r="I3" s="142"/>
      <x:c r="J3" s="143"/>
      <x:c r="K3" s="144"/>
    </x:row>
    <x:row r="4" spans="1:12" s="138" customFormat="1" ht="17.55" customHeight="1" thickBot="1" x14ac:dyDescent="0.35">
      <x:c r="A4" s="146" t="s">
        <x:v>11</x:v>
      </x:c>
      <x:c r="B4" s="146"/>
      <x:c r="C4" s="258"/>
      <x:c r="D4" s="258"/>
      <x:c r="E4" s="147"/>
      <x:c r="G4" s="140"/>
      <x:c r="H4" s="141" t="s">
        <x:v>56</x:v>
      </x:c>
      <x:c r="I4" s="142"/>
      <x:c r="J4" s="143"/>
      <x:c r="K4" s="144"/>
    </x:row>
    <x:row r="5" spans="1:12" s="138" customFormat="1" ht="16.05" customHeight="1" thickBot="1" x14ac:dyDescent="0.35">
      <x:c r="A5" s="148" t="s">
        <x:v>12</x:v>
      </x:c>
      <x:c r="B5" s="148"/>
      <x:c r="C5" s="256"/>
      <x:c r="D5" s="256"/>
      <x:c r="E5" s="256"/>
      <x:c r="G5" s="140"/>
      <x:c r="H5" s="141" t="s">
        <x:v>10</x:v>
      </x:c>
      <x:c r="I5" s="149"/>
      <x:c r="J5" s="143"/>
      <x:c r="K5" s="144"/>
    </x:row>
    <x:row r="6" spans="1:12" s="138" customFormat="1" ht="14" customHeight="1" x14ac:dyDescent="0.3">
      <x:c r="A6" s="148" t="s">
        <x:v>13</x:v>
      </x:c>
      <x:c r="B6" s="148"/>
      <x:c r="C6" s="256"/>
      <x:c r="D6" s="256"/>
      <x:c r="E6" s="256"/>
      <x:c r="G6" s="138" t="s">
        <x:v>15</x:v>
      </x:c>
      <x:c r="K6" s="150"/>
    </x:row>
    <x:row r="7" spans="1:12" s="138" customFormat="1" ht="17.2" customHeight="1" x14ac:dyDescent="0.3">
      <x:c r="A7" s="148" t="s">
        <x:v>61</x:v>
      </x:c>
      <x:c r="B7" s="148"/>
      <x:c r="C7" s="151"/>
      <x:c r="D7" s="151"/>
      <x:c r="E7" s="151"/>
      <x:c r="G7" s="146" t="s">
        <x:v>0</x:v>
      </x:c>
      <x:c r="H7" s="259"/>
      <x:c r="I7" s="260"/>
      <x:c r="J7" s="260"/>
      <x:c r="K7" s="260"/>
    </x:row>
    <x:row r="8" spans="1:12" s="138" customFormat="1" ht="17.2" customHeight="1" x14ac:dyDescent="0.3">
      <x:c r="A8" s="146" t="s">
        <x:v>6</x:v>
      </x:c>
      <x:c r="B8" s="146"/>
      <x:c r="C8" s="259"/>
      <x:c r="D8" s="259"/>
      <x:c r="E8" s="259"/>
      <x:c r="G8" s="148" t="s">
        <x:v>1</x:v>
      </x:c>
      <x:c r="H8" s="256"/>
      <x:c r="I8" s="257"/>
      <x:c r="J8" s="257"/>
      <x:c r="K8" s="257"/>
    </x:row>
    <x:row r="9" spans="1:12" s="138" customFormat="1" ht="17.2" customHeight="1" x14ac:dyDescent="0.3">
      <x:c r="A9" s="148" t="s">
        <x:v>14</x:v>
      </x:c>
      <x:c r="B9" s="148"/>
      <x:c r="C9" s="256"/>
      <x:c r="D9" s="256"/>
      <x:c r="E9" s="256"/>
      <x:c r="G9" s="148" t="s">
        <x:v>2</x:v>
      </x:c>
      <x:c r="H9" s="256"/>
      <x:c r="I9" s="257"/>
      <x:c r="J9" s="257"/>
      <x:c r="K9" s="257"/>
    </x:row>
    <x:row r="10" spans="1:12" s="138" customFormat="1" ht="17.2" customHeight="1" x14ac:dyDescent="0.3">
      <x:c r="A10" s="148" t="s">
        <x:v>59</x:v>
      </x:c>
      <x:c r="B10" s="148"/>
      <x:c r="C10" s="256"/>
      <x:c r="D10" s="256"/>
      <x:c r="E10" s="256"/>
      <x:c r="G10" s="148" t="s">
        <x:v>3</x:v>
      </x:c>
      <x:c r="H10" s="256"/>
      <x:c r="I10" s="257"/>
      <x:c r="J10" s="257"/>
      <x:c r="K10" s="257"/>
    </x:row>
    <x:row r="11" spans="1:12" s="138" customFormat="1" ht="17.2" customHeight="1" x14ac:dyDescent="0.3">
      <x:c r="G11" s="148" t="s">
        <x:v>4</x:v>
      </x:c>
      <x:c r="H11" s="256"/>
      <x:c r="I11" s="257"/>
      <x:c r="J11" s="257"/>
      <x:c r="K11" s="257"/>
    </x:row>
    <x:row r="12" spans="1:12" s="138" customFormat="1" ht="17.2" customHeight="1" x14ac:dyDescent="0.3">
      <x:c r="C12" s="152"/>
      <x:c r="G12" s="148" t="s">
        <x:v>5</x:v>
      </x:c>
      <x:c r="H12" s="256"/>
      <x:c r="I12" s="257"/>
      <x:c r="J12" s="257"/>
      <x:c r="K12" s="257"/>
    </x:row>
    <x:row r="13" spans="1:12" s="138" customFormat="1" ht="6" customHeight="1" thickBot="1" x14ac:dyDescent="0.35">
      <x:c r="C13" s="152"/>
      <x:c r="G13" s="153"/>
      <x:c r="H13" s="154"/>
      <x:c r="I13" s="153"/>
      <x:c r="J13" s="153"/>
      <x:c r="K13" s="153"/>
    </x:row>
    <x:row r="14" spans="1:12" ht="12.75" thickBot="1" x14ac:dyDescent="0.35">
      <x:c r="A14" s="138"/>
      <x:c r="B14" s="138"/>
      <x:c r="C14" s="155"/>
      <x:c r="D14" s="155"/>
      <x:c r="E14" s="155"/>
      <x:c r="F14" s="155"/>
      <x:c r="G14" s="138"/>
      <x:c r="H14" s="230" t="s">
        <x:v>26</x:v>
      </x:c>
      <x:c r="I14" s="231"/>
      <x:c r="J14" s="232" t="s">
        <x:v>60</x:v>
      </x:c>
      <x:c r="K14" s="233"/>
      <x:c r="L14" s="234"/>
    </x:row>
    <x:row r="15" spans="1:12" x14ac:dyDescent="0.3">
      <x:c r="A15" s="235" t="s">
        <x:v>113</x:v>
      </x:c>
      <x:c r="B15" s="239" t="s">
        <x:v>114</x:v>
      </x:c>
      <x:c r="C15" s="240"/>
      <x:c r="D15" s="240"/>
      <x:c r="E15" s="240"/>
      <x:c r="F15" s="240"/>
      <x:c r="G15" s="240"/>
      <x:c r="H15" s="243"/>
      <x:c r="I15" s="244"/>
      <x:c r="J15" s="249" t="s">
        <x:v>115</x:v>
      </x:c>
      <x:c r="K15" s="251">
        <x:f>SUM(B20:G20)/6</x:f>
        <x:v>0</x:v>
      </x:c>
      <x:c r="L15" s="253">
        <x:f>ROUND(K15*0.6,3)</x:f>
        <x:v>0</x:v>
      </x:c>
    </x:row>
    <x:row r="16" spans="1:12" x14ac:dyDescent="0.3">
      <x:c r="A16" s="236"/>
      <x:c r="B16" s="241"/>
      <x:c r="C16" s="242"/>
      <x:c r="D16" s="242"/>
      <x:c r="E16" s="242"/>
      <x:c r="F16" s="242"/>
      <x:c r="G16" s="242"/>
      <x:c r="H16" s="245"/>
      <x:c r="I16" s="246"/>
      <x:c r="J16" s="217"/>
      <x:c r="K16" s="252"/>
      <x:c r="L16" s="254"/>
    </x:row>
    <x:row r="17" spans="1:12" x14ac:dyDescent="0.3">
      <x:c r="A17" s="236"/>
      <x:c r="B17" s="241"/>
      <x:c r="C17" s="242"/>
      <x:c r="D17" s="242"/>
      <x:c r="E17" s="242"/>
      <x:c r="F17" s="242"/>
      <x:c r="G17" s="242"/>
      <x:c r="H17" s="245"/>
      <x:c r="I17" s="246"/>
      <x:c r="J17" s="217"/>
      <x:c r="K17" s="252"/>
      <x:c r="L17" s="254"/>
    </x:row>
    <x:row r="18" spans="1:12" ht="136.5" customHeight="1" thickBot="1" x14ac:dyDescent="0.35">
      <x:c r="A18" s="236"/>
      <x:c r="B18" s="241"/>
      <x:c r="C18" s="242"/>
      <x:c r="D18" s="242"/>
      <x:c r="E18" s="242"/>
      <x:c r="F18" s="242"/>
      <x:c r="G18" s="242"/>
      <x:c r="H18" s="245"/>
      <x:c r="I18" s="246"/>
      <x:c r="J18" s="217"/>
      <x:c r="K18" s="252"/>
      <x:c r="L18" s="254"/>
    </x:row>
    <x:row r="19" spans="1:12" ht="25.5" customHeight="1" thickBot="1" x14ac:dyDescent="0.4">
      <x:c r="A19" s="237"/>
      <x:c r="B19" s="156" t="s">
        <x:v>116</x:v>
      </x:c>
      <x:c r="C19" s="157" t="s">
        <x:v>117</x:v>
      </x:c>
      <x:c r="D19" s="158" t="s">
        <x:v>118</x:v>
      </x:c>
      <x:c r="E19" s="157" t="s">
        <x:v>119</x:v>
      </x:c>
      <x:c r="F19" s="157" t="s">
        <x:v>120</x:v>
      </x:c>
      <x:c r="G19" s="159" t="s">
        <x:v>121</x:v>
      </x:c>
      <x:c r="H19" s="245"/>
      <x:c r="I19" s="246"/>
      <x:c r="J19" s="217"/>
      <x:c r="K19" s="252"/>
      <x:c r="L19" s="254"/>
    </x:row>
    <x:row r="20" spans="1:12" ht="28.05" customHeight="1" thickBot="1" x14ac:dyDescent="0.35">
      <x:c r="A20" s="238"/>
      <x:c r="B20" s="160"/>
      <x:c r="C20" s="161"/>
      <x:c r="D20" s="161"/>
      <x:c r="E20" s="161"/>
      <x:c r="F20" s="161"/>
      <x:c r="G20" s="162"/>
      <x:c r="H20" s="247"/>
      <x:c r="I20" s="248"/>
      <x:c r="J20" s="250"/>
      <x:c r="K20" s="252"/>
      <x:c r="L20" s="255"/>
    </x:row>
    <x:row r="21" spans="1:12" ht="12.4" customHeight="1" x14ac:dyDescent="0.3">
      <x:c r="A21" s="194"/>
      <x:c r="B21" s="197" t="s">
        <x:v>136</x:v>
      </x:c>
      <x:c r="C21" s="197"/>
      <x:c r="D21" s="197"/>
      <x:c r="E21" s="197"/>
      <x:c r="F21" s="197"/>
      <x:c r="G21" s="197"/>
      <x:c r="H21" s="199"/>
      <x:c r="I21" s="200"/>
      <x:c r="J21" s="205" t="s">
        <x:v>7</x:v>
      </x:c>
      <x:c r="K21" s="227">
        <x:f>SUMPRODUCT(B26:G26,B25:G25)</x:f>
        <x:v>0</x:v>
      </x:c>
      <x:c r="L21" s="208">
        <x:f>IF((K21-K28)&gt;=0,ROUND((K21-K28)*0.25,3),0.000000000001)</x:f>
        <x:v>0</x:v>
      </x:c>
    </x:row>
    <x:row r="22" spans="1:12" x14ac:dyDescent="0.3">
      <x:c r="A22" s="195"/>
      <x:c r="B22" s="198"/>
      <x:c r="C22" s="198"/>
      <x:c r="D22" s="198"/>
      <x:c r="E22" s="198"/>
      <x:c r="F22" s="198"/>
      <x:c r="G22" s="198"/>
      <x:c r="H22" s="201"/>
      <x:c r="I22" s="202"/>
      <x:c r="J22" s="206"/>
      <x:c r="K22" s="228"/>
      <x:c r="L22" s="209"/>
    </x:row>
    <x:row r="23" spans="1:12" ht="53" customHeight="1" x14ac:dyDescent="0.3">
      <x:c r="A23" s="195"/>
      <x:c r="B23" s="198"/>
      <x:c r="C23" s="198"/>
      <x:c r="D23" s="198"/>
      <x:c r="E23" s="198"/>
      <x:c r="F23" s="198"/>
      <x:c r="G23" s="198"/>
      <x:c r="H23" s="201"/>
      <x:c r="I23" s="202"/>
      <x:c r="J23" s="206"/>
      <x:c r="K23" s="228"/>
      <x:c r="L23" s="209"/>
    </x:row>
    <x:row r="24" spans="1:12" ht="15.4" customHeight="1" x14ac:dyDescent="0.3">
      <x:c r="A24" s="195"/>
      <x:c r="B24" s="219" t="s">
        <x:v>133</x:v>
      </x:c>
      <x:c r="C24" s="220"/>
      <x:c r="D24" s="221" t="s">
        <x:v>134</x:v>
      </x:c>
      <x:c r="E24" s="222"/>
      <x:c r="F24" s="223" t="s">
        <x:v>135</x:v>
      </x:c>
      <x:c r="G24" s="224"/>
      <x:c r="H24" s="201"/>
      <x:c r="I24" s="202"/>
      <x:c r="J24" s="206"/>
      <x:c r="K24" s="228"/>
      <x:c r="L24" s="209"/>
    </x:row>
    <x:row r="25" spans="1:12" ht="13.9" customHeight="1" x14ac:dyDescent="0.3">
      <x:c r="A25" s="195"/>
      <x:c r="B25" s="225">
        <x:v>0.5</x:v>
      </x:c>
      <x:c r="C25" s="226"/>
      <x:c r="D25" s="181">
        <x:v>0.25</x:v>
      </x:c>
      <x:c r="E25" s="182"/>
      <x:c r="F25" s="183">
        <x:v>0.25</x:v>
      </x:c>
      <x:c r="G25" s="184"/>
      <x:c r="H25" s="201"/>
      <x:c r="I25" s="202"/>
      <x:c r="J25" s="206"/>
      <x:c r="K25" s="228"/>
      <x:c r="L25" s="209"/>
    </x:row>
    <x:row r="26" spans="1:12" ht="28.15" customHeight="1" thickBot="1" x14ac:dyDescent="0.35">
      <x:c r="A26" s="195"/>
      <x:c r="B26" s="185"/>
      <x:c r="C26" s="186"/>
      <x:c r="D26" s="187"/>
      <x:c r="E26" s="188"/>
      <x:c r="F26" s="186"/>
      <x:c r="G26" s="189"/>
      <x:c r="H26" s="201"/>
      <x:c r="I26" s="202"/>
      <x:c r="J26" s="206"/>
      <x:c r="K26" s="229"/>
      <x:c r="L26" s="209"/>
    </x:row>
    <x:row r="27" spans="1:12" ht="10.15" customHeight="1" thickBot="1" x14ac:dyDescent="0.35">
      <x:c r="A27" s="195"/>
      <x:c r="B27" s="177"/>
      <x:c r="C27" s="178"/>
      <x:c r="D27" s="179"/>
      <x:c r="E27" s="179"/>
      <x:c r="F27" s="178"/>
      <x:c r="G27" s="180"/>
      <x:c r="H27" s="201"/>
      <x:c r="I27" s="202"/>
      <x:c r="J27" s="206"/>
      <x:c r="K27" s="176"/>
      <x:c r="L27" s="209"/>
    </x:row>
    <x:row r="28" spans="1:12" ht="28.05" customHeight="1" thickBot="1" x14ac:dyDescent="0.35">
      <x:c r="A28" s="196"/>
      <x:c r="B28" s="163" t="s">
        <x:v>122</x:v>
      </x:c>
      <x:c r="C28" s="164"/>
      <x:c r="D28" s="164"/>
      <x:c r="E28" s="164"/>
      <x:c r="F28" s="164"/>
      <x:c r="G28" s="164"/>
      <x:c r="H28" s="203"/>
      <x:c r="I28" s="204"/>
      <x:c r="J28" s="207"/>
      <x:c r="K28" s="165">
        <x:f>SUM(C28:G28)</x:f>
        <x:v>0</x:v>
      </x:c>
      <x:c r="L28" s="210"/>
    </x:row>
    <x:row r="29" spans="1:12" ht="114.75" customHeight="1" thickBot="1" x14ac:dyDescent="0.35">
      <x:c r="A29" s="194" t="s">
        <x:v>16</x:v>
      </x:c>
      <x:c r="B29" s="197" t="s">
        <x:v>137</x:v>
      </x:c>
      <x:c r="C29" s="211"/>
      <x:c r="D29" s="211"/>
      <x:c r="E29" s="211"/>
      <x:c r="F29" s="211"/>
      <x:c r="G29" s="212"/>
      <x:c r="H29" s="213"/>
      <x:c r="I29" s="214"/>
      <x:c r="J29" s="217" t="s">
        <x:v>123</x:v>
      </x:c>
      <x:c r="K29" s="166">
        <x:v>0</x:v>
      </x:c>
      <x:c r="L29" s="190">
        <x:f>IF((K29-K30)&gt;=0,ROUND((K29-K30)*0.15,3),0.00000000001)</x:f>
        <x:v>0</x:v>
      </x:c>
    </x:row>
    <x:row r="30" spans="1:12" ht="28.05" customHeight="1" thickBot="1" x14ac:dyDescent="0.35">
      <x:c r="A30" s="196"/>
      <x:c r="B30" s="167" t="s">
        <x:v>122</x:v>
      </x:c>
      <x:c r="C30" s="164"/>
      <x:c r="D30" s="164"/>
      <x:c r="E30" s="164"/>
      <x:c r="F30" s="164"/>
      <x:c r="G30" s="164"/>
      <x:c r="H30" s="215"/>
      <x:c r="I30" s="216"/>
      <x:c r="J30" s="218"/>
      <x:c r="K30" s="165">
        <x:f>SUM(C30:G30)</x:f>
        <x:v>0</x:v>
      </x:c>
      <x:c r="L30" s="191"/>
    </x:row>
    <x:row r="31" spans="1:12" ht="13.15" thickBot="1" x14ac:dyDescent="0.4">
      <x:c r="A31" s="44"/>
      <x:c r="B31" s="44"/>
      <x:c r="C31" s="44"/>
      <x:c r="D31" s="44"/>
      <x:c r="E31" s="44"/>
      <x:c r="F31" s="44"/>
      <x:c r="G31" s="44"/>
      <x:c r="H31" s="44"/>
      <x:c r="K31" s="57"/>
    </x:row>
    <x:row r="32" spans="1:12" ht="28.9" customHeight="1" thickBot="1" x14ac:dyDescent="0.35">
      <x:c r="I32" s="45" t="s">
        <x:v>9</x:v>
      </x:c>
      <x:c r="J32" s="46"/>
      <x:c r="K32" s="192">
        <x:f>SUM(L15:L29)</x:f>
        <x:v>0</x:v>
      </x:c>
      <x:c r="L32" s="193"/>
    </x:row>
    <x:row r="36" spans="1:12" x14ac:dyDescent="0.3">
      <x:c r="A36" s="169" t="s">
        <x:v>18</x:v>
      </x:c>
      <x:c r="B36" s="169"/>
      <x:c r="C36" s="169"/>
      <x:c r="D36" s="169"/>
      <x:c r="E36" s="169"/>
      <x:c r="F36" s="168"/>
      <x:c r="G36" s="138"/>
      <x:c r="H36" s="146" t="s">
        <x:v>19</x:v>
      </x:c>
      <x:c r="I36" s="146"/>
      <x:c r="J36" s="146"/>
      <x:c r="K36" s="146"/>
      <x:c r="L36" s="146"/>
    </x:row>
  </x:sheetData>
  <x:mergeCells count="41">
    <x:mergeCell ref="H12:K12"/>
    <x:mergeCell ref="C4:D4"/>
    <x:mergeCell ref="C5:E5"/>
    <x:mergeCell ref="C6:E6"/>
    <x:mergeCell ref="H7:K7"/>
    <x:mergeCell ref="C8:E8"/>
    <x:mergeCell ref="H8:K8"/>
    <x:mergeCell ref="C9:E9"/>
    <x:mergeCell ref="H9:K9"/>
    <x:mergeCell ref="C10:E10"/>
    <x:mergeCell ref="H10:K10"/>
    <x:mergeCell ref="H11:K11"/>
    <x:mergeCell ref="H14:I14"/>
    <x:mergeCell ref="J14:L14"/>
    <x:mergeCell ref="A15:A20"/>
    <x:mergeCell ref="B15:G18"/>
    <x:mergeCell ref="H15:I20"/>
    <x:mergeCell ref="J15:J20"/>
    <x:mergeCell ref="K15:K20"/>
    <x:mergeCell ref="L15:L20"/>
    <x:mergeCell ref="L29:L30"/>
    <x:mergeCell ref="K32:L32"/>
    <x:mergeCell ref="A21:A28"/>
    <x:mergeCell ref="B21:G23"/>
    <x:mergeCell ref="H21:I28"/>
    <x:mergeCell ref="J21:J28"/>
    <x:mergeCell ref="L21:L28"/>
    <x:mergeCell ref="A29:A30"/>
    <x:mergeCell ref="B29:G29"/>
    <x:mergeCell ref="H29:I30"/>
    <x:mergeCell ref="J29:J30"/>
    <x:mergeCell ref="B24:C24"/>
    <x:mergeCell ref="D24:E24"/>
    <x:mergeCell ref="F24:G24"/>
    <x:mergeCell ref="B25:C25"/>
    <x:mergeCell ref="K21:K26"/>
    <x:mergeCell ref="D25:E25"/>
    <x:mergeCell ref="F25:G25"/>
    <x:mergeCell ref="B26:C26"/>
    <x:mergeCell ref="D26:E26"/>
    <x:mergeCell ref="F26:G26"/>
  </x:mergeCells>
  <x:dataValidations count="1">
    <x:dataValidation type="decimal" operator="lessThan" allowBlank="1" showInputMessage="1" showErrorMessage="1" errorTitle="Endast siffror giltiga" error="Ej giltig siffra_x000a_Kan du ha skrivit komma  istället för punkt eller tvärt om" sqref="C30:G30 C28 D28 E28 F28 G28 F26:G26 D26:E26 B26:C26 K29 B20 C20 D20 E20 F20 G20" xr:uid="{717696C7-3684-477B-A49A-9E6458A0FA01}">
      <x:formula1>11</x:formula1>
    </x:dataValidation>
  </x:dataValidations>
  <x:pageMargins left="0.47244094488188981" right="0.15748031496062992" top="0.98425196850393704" bottom="0.39370078740157483" header="0.43307086614173229" footer="0.19685039370078741"/>
  <x:pageSetup paperSize="9" scale="90" orientation="portrait" r:id="rId1"/>
  <x:headerFooter alignWithMargins="0">
    <x:oddHeader>&amp;L&amp;G
&amp;C&amp;"Verdana,Normal"&amp;12PROTOKOLL FÖR LAGTÄVLAN</x:oddHeader>
    <x:oddFooter>&amp;R2025-03-16</x:oddFooter>
  </x:headerFooter>
  <x:legacyDrawingHF r:id="rId2"/>
</x: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5"/>
  <sheetViews>
    <sheetView showZeros="0" view="pageLayout" zoomScaleNormal="100" workbookViewId="0">
      <selection activeCell="A2" sqref="A2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11" width="7.265625" style="1" customWidth="1"/>
    <col min="12" max="12" width="10.5976562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4" customHeight="1" thickBot="1" x14ac:dyDescent="0.4">
      <c r="A2" s="7" t="s">
        <v>124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100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2" ht="17.100000000000001" customHeight="1" x14ac:dyDescent="0.3">
      <c r="H11" s="12" t="s">
        <v>4</v>
      </c>
      <c r="I11" s="261"/>
      <c r="J11" s="262"/>
      <c r="K11" s="262"/>
      <c r="L11" s="263"/>
    </row>
    <row r="12" spans="1:12" ht="17.100000000000001" customHeight="1" x14ac:dyDescent="0.3">
      <c r="H12" s="12" t="s">
        <v>5</v>
      </c>
      <c r="I12" s="261"/>
      <c r="J12" s="262"/>
      <c r="K12" s="262"/>
      <c r="L12" s="263"/>
    </row>
    <row r="13" spans="1:12" ht="21.75" customHeight="1" x14ac:dyDescent="0.3">
      <c r="A13" s="15"/>
      <c r="B13" s="16"/>
    </row>
    <row r="14" spans="1:12" ht="15.75" customHeight="1" x14ac:dyDescent="0.3">
      <c r="F14" s="17">
        <v>1</v>
      </c>
      <c r="G14" s="17">
        <v>2</v>
      </c>
      <c r="H14" s="17">
        <v>3</v>
      </c>
      <c r="I14" s="17">
        <v>4</v>
      </c>
      <c r="J14" s="17">
        <v>5</v>
      </c>
      <c r="K14" s="17">
        <v>6</v>
      </c>
      <c r="L14" s="17" t="s">
        <v>17</v>
      </c>
    </row>
    <row r="15" spans="1:12" ht="20.100000000000001" customHeight="1" x14ac:dyDescent="0.3">
      <c r="A15" s="271"/>
      <c r="B15" s="272" t="s">
        <v>21</v>
      </c>
      <c r="C15" s="265"/>
      <c r="D15" s="265"/>
      <c r="E15" s="18"/>
      <c r="F15" s="127"/>
      <c r="G15" s="127"/>
      <c r="H15" s="127"/>
      <c r="I15" s="127"/>
      <c r="J15" s="127"/>
      <c r="K15" s="127"/>
      <c r="L15" s="19">
        <f>SUM(F15:K15)</f>
        <v>0</v>
      </c>
    </row>
    <row r="16" spans="1:12" ht="20.100000000000001" customHeight="1" x14ac:dyDescent="0.3">
      <c r="A16" s="271"/>
      <c r="B16" s="264" t="s">
        <v>23</v>
      </c>
      <c r="C16" s="265"/>
      <c r="D16" s="265"/>
      <c r="E16" s="18"/>
      <c r="F16" s="127"/>
      <c r="G16" s="127"/>
      <c r="H16" s="127"/>
      <c r="I16" s="127"/>
      <c r="J16" s="127"/>
      <c r="K16" s="127"/>
      <c r="L16" s="19">
        <f t="shared" ref="L16:L22" si="0">SUM(F16:K16)</f>
        <v>0</v>
      </c>
    </row>
    <row r="17" spans="2:12" ht="20.100000000000001" customHeight="1" x14ac:dyDescent="0.3">
      <c r="B17" s="264" t="s">
        <v>31</v>
      </c>
      <c r="C17" s="265"/>
      <c r="D17" s="265"/>
      <c r="E17" s="18"/>
      <c r="F17" s="127"/>
      <c r="G17" s="127"/>
      <c r="H17" s="127"/>
      <c r="I17" s="127"/>
      <c r="J17" s="127"/>
      <c r="K17" s="127"/>
      <c r="L17" s="19">
        <f t="shared" si="0"/>
        <v>0</v>
      </c>
    </row>
    <row r="18" spans="2:12" ht="20.100000000000001" customHeight="1" x14ac:dyDescent="0.3">
      <c r="B18" s="269" t="s">
        <v>32</v>
      </c>
      <c r="C18" s="270"/>
      <c r="D18" s="270"/>
      <c r="E18" s="18"/>
      <c r="F18" s="127"/>
      <c r="G18" s="127"/>
      <c r="H18" s="127"/>
      <c r="I18" s="127"/>
      <c r="J18" s="127"/>
      <c r="K18" s="127"/>
      <c r="L18" s="19">
        <f t="shared" si="0"/>
        <v>0</v>
      </c>
    </row>
    <row r="19" spans="2:12" ht="20.100000000000001" customHeight="1" x14ac:dyDescent="0.3">
      <c r="B19" s="264" t="s">
        <v>33</v>
      </c>
      <c r="C19" s="265"/>
      <c r="D19" s="265"/>
      <c r="E19" s="20"/>
      <c r="F19" s="127"/>
      <c r="G19" s="127"/>
      <c r="H19" s="127"/>
      <c r="I19" s="127"/>
      <c r="J19" s="127"/>
      <c r="K19" s="127"/>
      <c r="L19" s="19">
        <f t="shared" si="0"/>
        <v>0</v>
      </c>
    </row>
    <row r="20" spans="2:12" ht="20.100000000000001" customHeight="1" x14ac:dyDescent="0.3">
      <c r="B20" s="47" t="s">
        <v>24</v>
      </c>
      <c r="C20" s="48"/>
      <c r="D20" s="48"/>
      <c r="E20" s="18"/>
      <c r="F20" s="127"/>
      <c r="G20" s="127"/>
      <c r="H20" s="127"/>
      <c r="I20" s="127"/>
      <c r="J20" s="127"/>
      <c r="K20" s="127"/>
      <c r="L20" s="19">
        <f t="shared" si="0"/>
        <v>0</v>
      </c>
    </row>
    <row r="21" spans="2:12" ht="20.100000000000001" customHeight="1" x14ac:dyDescent="0.3">
      <c r="B21" s="47" t="s">
        <v>38</v>
      </c>
      <c r="C21" s="48"/>
      <c r="D21" s="48"/>
      <c r="E21" s="18"/>
      <c r="F21" s="127"/>
      <c r="G21" s="127"/>
      <c r="H21" s="127"/>
      <c r="I21" s="127"/>
      <c r="J21" s="127"/>
      <c r="K21" s="127"/>
      <c r="L21" s="19">
        <f t="shared" si="0"/>
        <v>0</v>
      </c>
    </row>
    <row r="22" spans="2:12" ht="20.100000000000001" customHeight="1" x14ac:dyDescent="0.3">
      <c r="B22" s="273" t="s">
        <v>104</v>
      </c>
      <c r="C22" s="274"/>
      <c r="D22" s="274"/>
      <c r="E22" s="275"/>
      <c r="F22" s="127"/>
      <c r="G22" s="127"/>
      <c r="H22" s="127"/>
      <c r="I22" s="127"/>
      <c r="J22" s="127"/>
      <c r="K22" s="127"/>
      <c r="L22" s="19">
        <f t="shared" si="0"/>
        <v>0</v>
      </c>
    </row>
    <row r="23" spans="2:12" ht="14.25" customHeight="1" x14ac:dyDescent="0.3"/>
    <row r="24" spans="2:12" ht="15.75" customHeight="1" thickBot="1" x14ac:dyDescent="0.35">
      <c r="B24" s="22" t="s">
        <v>26</v>
      </c>
      <c r="C24" s="3"/>
      <c r="D24" s="3"/>
      <c r="E24" s="3"/>
      <c r="F24" s="3"/>
      <c r="G24" s="3"/>
      <c r="H24" s="23"/>
      <c r="K24" s="24" t="s">
        <v>27</v>
      </c>
      <c r="L24" s="19">
        <f>SUM(L15:L22)</f>
        <v>0</v>
      </c>
    </row>
    <row r="25" spans="2:12" ht="18" customHeight="1" thickBot="1" x14ac:dyDescent="0.35">
      <c r="B25" s="25"/>
      <c r="H25" s="26"/>
      <c r="J25" s="24"/>
      <c r="K25" s="24" t="s">
        <v>34</v>
      </c>
      <c r="L25" s="27">
        <f>ROUND(+L24/6,3)</f>
        <v>0</v>
      </c>
    </row>
    <row r="26" spans="2:12" x14ac:dyDescent="0.3">
      <c r="B26" s="25"/>
      <c r="H26" s="26"/>
      <c r="I26" s="28"/>
      <c r="J26" s="29"/>
      <c r="L26" s="30"/>
    </row>
    <row r="27" spans="2:12" x14ac:dyDescent="0.3">
      <c r="B27" s="31"/>
      <c r="C27" s="2"/>
      <c r="D27" s="2"/>
      <c r="E27" s="2"/>
      <c r="F27" s="2"/>
      <c r="G27" s="2"/>
      <c r="H27" s="32"/>
      <c r="K27" s="24" t="s">
        <v>35</v>
      </c>
      <c r="L27" s="29"/>
    </row>
    <row r="28" spans="2:12" ht="10.5" customHeight="1" thickBot="1" x14ac:dyDescent="0.35"/>
    <row r="29" spans="2:12" ht="23.25" customHeight="1" thickBot="1" x14ac:dyDescent="0.35">
      <c r="F29" s="38"/>
      <c r="H29" s="33"/>
      <c r="I29" s="49" t="s">
        <v>36</v>
      </c>
      <c r="J29" s="50"/>
      <c r="K29" s="51"/>
      <c r="L29" s="37">
        <f>ROUND(+L25/8,3)</f>
        <v>0</v>
      </c>
    </row>
    <row r="30" spans="2:12" ht="18" customHeight="1" x14ac:dyDescent="0.3">
      <c r="F30" s="38"/>
      <c r="H30" s="33"/>
      <c r="I30" s="33"/>
      <c r="J30" s="39"/>
      <c r="K30" s="24"/>
      <c r="L30" s="6"/>
    </row>
    <row r="31" spans="2:12" ht="18" customHeight="1" x14ac:dyDescent="0.3">
      <c r="F31" s="38"/>
      <c r="H31" s="33"/>
      <c r="I31" s="33"/>
      <c r="J31" s="39"/>
      <c r="K31" s="24"/>
      <c r="L31" s="6"/>
    </row>
    <row r="32" spans="2:12" ht="18" customHeight="1" x14ac:dyDescent="0.3"/>
    <row r="33" spans="1:12" ht="18" customHeight="1" x14ac:dyDescent="0.3">
      <c r="A33" s="2" t="s">
        <v>18</v>
      </c>
      <c r="B33" s="40"/>
      <c r="C33" s="40"/>
      <c r="D33" s="40"/>
      <c r="E33" s="40"/>
      <c r="F33" s="38"/>
      <c r="H33" s="2" t="s">
        <v>19</v>
      </c>
      <c r="I33" s="2"/>
      <c r="J33" s="2"/>
      <c r="K33" s="2"/>
      <c r="L33" s="2"/>
    </row>
    <row r="34" spans="1:12" ht="18" customHeight="1" x14ac:dyDescent="0.3">
      <c r="F34" s="38"/>
      <c r="H34" s="33"/>
      <c r="I34" s="33"/>
      <c r="J34" s="39"/>
      <c r="K34" s="24"/>
      <c r="L34" s="6"/>
    </row>
    <row r="35" spans="1:12" ht="9" customHeight="1" x14ac:dyDescent="0.3">
      <c r="A35" s="41"/>
    </row>
  </sheetData>
  <mergeCells count="18">
    <mergeCell ref="A15:A16"/>
    <mergeCell ref="B15:D15"/>
    <mergeCell ref="B16:D16"/>
    <mergeCell ref="B17:D17"/>
    <mergeCell ref="B22:E22"/>
    <mergeCell ref="I12:L12"/>
    <mergeCell ref="B19:D19"/>
    <mergeCell ref="C8:F8"/>
    <mergeCell ref="I8:L8"/>
    <mergeCell ref="C5:F5"/>
    <mergeCell ref="I7:L7"/>
    <mergeCell ref="B18:D18"/>
    <mergeCell ref="C9:F9"/>
    <mergeCell ref="I9:L9"/>
    <mergeCell ref="C10:F10"/>
    <mergeCell ref="I10:L10"/>
    <mergeCell ref="I11:L11"/>
    <mergeCell ref="C6:F6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&amp;R2019-06-01
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6"/>
  <sheetViews>
    <sheetView showZeros="0" view="pageLayout" zoomScaleNormal="100" workbookViewId="0">
      <selection activeCell="A3" sqref="A3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11" width="7.265625" style="1" customWidth="1"/>
    <col min="12" max="12" width="10.5976562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4" customHeight="1" thickBot="1" x14ac:dyDescent="0.4">
      <c r="A2" s="7" t="s">
        <v>81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100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7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2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2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2"/>
    </row>
    <row r="11" spans="1:12" ht="17.100000000000001" customHeight="1" x14ac:dyDescent="0.3">
      <c r="H11" s="12" t="s">
        <v>4</v>
      </c>
      <c r="I11" s="261"/>
      <c r="J11" s="262"/>
      <c r="K11" s="262"/>
      <c r="L11" s="262"/>
    </row>
    <row r="12" spans="1:12" ht="17.100000000000001" customHeight="1" x14ac:dyDescent="0.3">
      <c r="C12" s="14"/>
      <c r="H12" s="12" t="s">
        <v>5</v>
      </c>
      <c r="I12" s="261"/>
      <c r="J12" s="262"/>
      <c r="K12" s="262"/>
      <c r="L12" s="262"/>
    </row>
    <row r="13" spans="1:12" ht="17.100000000000001" customHeight="1" x14ac:dyDescent="0.3">
      <c r="H13" s="3"/>
      <c r="I13" s="3"/>
      <c r="J13" s="3"/>
      <c r="K13" s="3"/>
      <c r="L13" s="3"/>
    </row>
    <row r="14" spans="1:12" ht="21.75" customHeight="1" x14ac:dyDescent="0.3">
      <c r="A14" s="15"/>
      <c r="B14" s="16"/>
    </row>
    <row r="15" spans="1:12" ht="15.75" customHeight="1" x14ac:dyDescent="0.3">
      <c r="F15" s="17">
        <v>1</v>
      </c>
      <c r="G15" s="17">
        <v>2</v>
      </c>
      <c r="H15" s="17">
        <v>3</v>
      </c>
      <c r="I15" s="17">
        <v>4</v>
      </c>
      <c r="J15" s="17">
        <v>5</v>
      </c>
      <c r="K15" s="17">
        <v>6</v>
      </c>
      <c r="L15" s="17" t="s">
        <v>17</v>
      </c>
    </row>
    <row r="16" spans="1:12" ht="20.100000000000001" customHeight="1" x14ac:dyDescent="0.3">
      <c r="A16" s="271"/>
      <c r="B16" s="272" t="s">
        <v>21</v>
      </c>
      <c r="C16" s="265"/>
      <c r="D16" s="265"/>
      <c r="E16" s="18"/>
      <c r="F16" s="127"/>
      <c r="G16" s="127"/>
      <c r="H16" s="127"/>
      <c r="I16" s="127"/>
      <c r="J16" s="127"/>
      <c r="K16" s="127"/>
      <c r="L16" s="19">
        <f>SUM(F16:K16)</f>
        <v>0</v>
      </c>
    </row>
    <row r="17" spans="1:12" ht="20.100000000000001" customHeight="1" x14ac:dyDescent="0.3">
      <c r="A17" s="271"/>
      <c r="B17" s="264" t="s">
        <v>22</v>
      </c>
      <c r="C17" s="265"/>
      <c r="D17" s="265"/>
      <c r="E17" s="18"/>
      <c r="F17" s="127"/>
      <c r="G17" s="127"/>
      <c r="H17" s="127"/>
      <c r="I17" s="127"/>
      <c r="J17" s="127"/>
      <c r="K17" s="127"/>
      <c r="L17" s="19">
        <f t="shared" ref="L17:L21" si="0">SUM(F17:K17)</f>
        <v>0</v>
      </c>
    </row>
    <row r="18" spans="1:12" ht="20.100000000000001" customHeight="1" x14ac:dyDescent="0.3">
      <c r="B18" s="264" t="s">
        <v>23</v>
      </c>
      <c r="C18" s="265"/>
      <c r="D18" s="265"/>
      <c r="E18" s="18"/>
      <c r="F18" s="127"/>
      <c r="G18" s="127"/>
      <c r="H18" s="127"/>
      <c r="I18" s="127"/>
      <c r="J18" s="127"/>
      <c r="K18" s="127"/>
      <c r="L18" s="19">
        <f t="shared" si="0"/>
        <v>0</v>
      </c>
    </row>
    <row r="19" spans="1:12" ht="20.100000000000001" customHeight="1" x14ac:dyDescent="0.3">
      <c r="B19" s="276" t="s">
        <v>24</v>
      </c>
      <c r="C19" s="265"/>
      <c r="D19" s="265"/>
      <c r="E19" s="18"/>
      <c r="F19" s="127"/>
      <c r="G19" s="127"/>
      <c r="H19" s="127"/>
      <c r="I19" s="127"/>
      <c r="J19" s="127"/>
      <c r="K19" s="127"/>
      <c r="L19" s="19">
        <f t="shared" si="0"/>
        <v>0</v>
      </c>
    </row>
    <row r="20" spans="1:12" ht="20.100000000000001" customHeight="1" x14ac:dyDescent="0.3">
      <c r="B20" s="264" t="s">
        <v>102</v>
      </c>
      <c r="C20" s="265"/>
      <c r="D20" s="265"/>
      <c r="E20" s="277"/>
      <c r="F20" s="127"/>
      <c r="G20" s="127"/>
      <c r="H20" s="127"/>
      <c r="I20" s="127"/>
      <c r="J20" s="127"/>
      <c r="K20" s="127"/>
      <c r="L20" s="19">
        <f t="shared" si="0"/>
        <v>0</v>
      </c>
    </row>
    <row r="21" spans="1:12" ht="20.100000000000001" customHeight="1" x14ac:dyDescent="0.3">
      <c r="B21" s="264" t="s">
        <v>25</v>
      </c>
      <c r="C21" s="265"/>
      <c r="D21" s="265"/>
      <c r="E21" s="18"/>
      <c r="F21" s="127"/>
      <c r="G21" s="127"/>
      <c r="H21" s="127"/>
      <c r="I21" s="127"/>
      <c r="J21" s="127"/>
      <c r="K21" s="127"/>
      <c r="L21" s="19">
        <f t="shared" si="0"/>
        <v>0</v>
      </c>
    </row>
    <row r="22" spans="1:12" ht="20.100000000000001" customHeight="1" x14ac:dyDescent="0.3">
      <c r="B22" s="273" t="s">
        <v>103</v>
      </c>
      <c r="C22" s="274"/>
      <c r="D22" s="274"/>
      <c r="E22" s="275"/>
      <c r="F22" s="127"/>
      <c r="G22" s="127"/>
      <c r="H22" s="127"/>
      <c r="I22" s="127"/>
      <c r="J22" s="127"/>
      <c r="K22" s="127"/>
      <c r="L22" s="19">
        <f>SUM(F22:K22)</f>
        <v>0</v>
      </c>
    </row>
    <row r="23" spans="1:12" ht="14.25" customHeight="1" x14ac:dyDescent="0.3">
      <c r="L23" s="21"/>
    </row>
    <row r="24" spans="1:12" ht="15.75" customHeight="1" thickBot="1" x14ac:dyDescent="0.35">
      <c r="B24" s="22" t="s">
        <v>26</v>
      </c>
      <c r="C24" s="3"/>
      <c r="D24" s="3"/>
      <c r="E24" s="3"/>
      <c r="F24" s="3"/>
      <c r="G24" s="3"/>
      <c r="H24" s="23"/>
      <c r="K24" s="24" t="s">
        <v>27</v>
      </c>
      <c r="L24" s="19">
        <f>SUM(L16:L22)</f>
        <v>0</v>
      </c>
    </row>
    <row r="25" spans="1:12" ht="18" customHeight="1" thickBot="1" x14ac:dyDescent="0.35">
      <c r="B25" s="25"/>
      <c r="H25" s="26"/>
      <c r="J25" s="24"/>
      <c r="K25" s="24" t="s">
        <v>28</v>
      </c>
      <c r="L25" s="27">
        <f>ROUND(+L24/6,3)</f>
        <v>0</v>
      </c>
    </row>
    <row r="26" spans="1:12" x14ac:dyDescent="0.3">
      <c r="B26" s="25"/>
      <c r="H26" s="26"/>
      <c r="I26" s="28"/>
      <c r="J26" s="29"/>
      <c r="L26" s="30"/>
    </row>
    <row r="27" spans="1:12" x14ac:dyDescent="0.3">
      <c r="B27" s="31"/>
      <c r="C27" s="2"/>
      <c r="D27" s="2"/>
      <c r="E27" s="2"/>
      <c r="F27" s="2"/>
      <c r="G27" s="2"/>
      <c r="H27" s="32"/>
      <c r="K27" s="24" t="s">
        <v>29</v>
      </c>
      <c r="L27" s="29"/>
    </row>
    <row r="28" spans="1:12" ht="9.75" customHeight="1" thickBot="1" x14ac:dyDescent="0.35"/>
    <row r="29" spans="1:12" ht="21.75" customHeight="1" thickBot="1" x14ac:dyDescent="0.35">
      <c r="H29" s="33"/>
      <c r="I29" s="34" t="s">
        <v>30</v>
      </c>
      <c r="J29" s="35"/>
      <c r="K29" s="36"/>
      <c r="L29" s="37">
        <f>ROUND(+L25/7,3)</f>
        <v>0</v>
      </c>
    </row>
    <row r="30" spans="1:12" ht="18" customHeight="1" x14ac:dyDescent="0.3">
      <c r="F30" s="38"/>
      <c r="H30" s="33"/>
      <c r="I30" s="33"/>
      <c r="J30" s="39"/>
      <c r="K30" s="24"/>
      <c r="L30" s="6"/>
    </row>
    <row r="31" spans="1:12" ht="18" customHeight="1" x14ac:dyDescent="0.3">
      <c r="F31" s="38"/>
      <c r="H31" s="33"/>
      <c r="I31" s="33"/>
      <c r="J31" s="39"/>
      <c r="K31" s="24"/>
      <c r="L31" s="6"/>
    </row>
    <row r="32" spans="1:12" ht="18" customHeight="1" x14ac:dyDescent="0.3"/>
    <row r="33" spans="1:13" ht="18" customHeight="1" x14ac:dyDescent="0.3">
      <c r="A33" s="2" t="s">
        <v>18</v>
      </c>
      <c r="B33" s="40"/>
      <c r="C33" s="40"/>
      <c r="D33" s="40"/>
      <c r="E33" s="40"/>
      <c r="F33" s="38"/>
      <c r="H33" s="2" t="s">
        <v>19</v>
      </c>
      <c r="I33" s="2"/>
      <c r="J33" s="2"/>
      <c r="K33" s="2"/>
      <c r="L33" s="2"/>
    </row>
    <row r="34" spans="1:13" ht="18" customHeight="1" x14ac:dyDescent="0.3">
      <c r="F34" s="38"/>
      <c r="H34" s="33"/>
      <c r="I34" s="33"/>
      <c r="J34" s="39"/>
      <c r="K34" s="24"/>
      <c r="L34" s="6"/>
    </row>
    <row r="35" spans="1:13" ht="9" customHeight="1" x14ac:dyDescent="0.3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</row>
    <row r="36" spans="1:13" ht="9" customHeight="1" x14ac:dyDescent="0.3"/>
    <row r="38" spans="1:13" ht="12.75" customHeight="1" x14ac:dyDescent="0.3"/>
    <row r="39" spans="1:13" ht="12.75" customHeight="1" x14ac:dyDescent="0.3"/>
    <row r="42" spans="1:13" ht="9" customHeight="1" x14ac:dyDescent="0.3"/>
    <row r="47" spans="1:13" ht="12" customHeight="1" x14ac:dyDescent="0.3"/>
    <row r="48" spans="1:13" ht="13.5" customHeight="1" x14ac:dyDescent="0.3"/>
    <row r="49" ht="10.5" customHeight="1" x14ac:dyDescent="0.3"/>
    <row r="50" ht="6.75" customHeight="1" x14ac:dyDescent="0.3"/>
    <row r="51" ht="18" customHeight="1" x14ac:dyDescent="0.3"/>
    <row r="52" ht="9" customHeight="1" x14ac:dyDescent="0.3"/>
    <row r="54" ht="12.75" customHeight="1" x14ac:dyDescent="0.3"/>
    <row r="55" ht="12.75" customHeight="1" x14ac:dyDescent="0.3"/>
    <row r="58" ht="9" customHeight="1" x14ac:dyDescent="0.3"/>
    <row r="63" ht="10.5" customHeight="1" x14ac:dyDescent="0.3"/>
    <row r="64" ht="15.75" customHeight="1" x14ac:dyDescent="0.3"/>
    <row r="66" ht="18" customHeight="1" x14ac:dyDescent="0.3"/>
  </sheetData>
  <mergeCells count="19">
    <mergeCell ref="B21:D21"/>
    <mergeCell ref="B22:E22"/>
    <mergeCell ref="I7:L7"/>
    <mergeCell ref="I12:L12"/>
    <mergeCell ref="B18:D18"/>
    <mergeCell ref="B19:D19"/>
    <mergeCell ref="B20:E20"/>
    <mergeCell ref="C5:F5"/>
    <mergeCell ref="C8:F8"/>
    <mergeCell ref="I8:L8"/>
    <mergeCell ref="A16:A17"/>
    <mergeCell ref="B16:D16"/>
    <mergeCell ref="B17:D17"/>
    <mergeCell ref="I9:L9"/>
    <mergeCell ref="C6:F6"/>
    <mergeCell ref="C10:F10"/>
    <mergeCell ref="I10:L10"/>
    <mergeCell ref="I11:L11"/>
    <mergeCell ref="C9:F9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&amp;R2019-06-01
</oddFooter>
  </headerFooter>
  <rowBreaks count="1" manualBreakCount="1">
    <brk id="35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showZeros="0" view="pageLayout" topLeftCell="A5" zoomScaleNormal="100" workbookViewId="0">
      <selection activeCell="L42" sqref="L42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11" width="7.265625" style="1" customWidth="1"/>
    <col min="12" max="12" width="10.5976562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4" customHeight="1" thickBot="1" x14ac:dyDescent="0.4">
      <c r="A2" s="7" t="s">
        <v>125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100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2" ht="17.100000000000001" customHeight="1" x14ac:dyDescent="0.3">
      <c r="H11" s="12" t="s">
        <v>4</v>
      </c>
      <c r="I11" s="261"/>
      <c r="J11" s="262"/>
      <c r="K11" s="262"/>
      <c r="L11" s="263"/>
    </row>
    <row r="12" spans="1:12" ht="17.100000000000001" customHeight="1" x14ac:dyDescent="0.3">
      <c r="C12" s="14"/>
      <c r="H12" s="12" t="s">
        <v>5</v>
      </c>
      <c r="I12" s="261"/>
      <c r="J12" s="262"/>
      <c r="K12" s="262"/>
      <c r="L12" s="263"/>
    </row>
    <row r="13" spans="1:12" ht="21.75" customHeight="1" x14ac:dyDescent="0.3">
      <c r="A13" s="15"/>
      <c r="B13" s="16"/>
    </row>
    <row r="14" spans="1:12" ht="15.75" customHeight="1" x14ac:dyDescent="0.3">
      <c r="F14" s="17">
        <v>1</v>
      </c>
      <c r="G14" s="17">
        <v>2</v>
      </c>
      <c r="H14" s="17">
        <v>3</v>
      </c>
      <c r="I14" s="17">
        <v>4</v>
      </c>
      <c r="J14" s="17">
        <v>5</v>
      </c>
      <c r="K14" s="17">
        <v>6</v>
      </c>
      <c r="L14" s="17" t="s">
        <v>17</v>
      </c>
    </row>
    <row r="15" spans="1:12" ht="20.100000000000001" customHeight="1" x14ac:dyDescent="0.3">
      <c r="A15" s="271"/>
      <c r="B15" s="272" t="s">
        <v>21</v>
      </c>
      <c r="C15" s="278"/>
      <c r="D15" s="278"/>
      <c r="E15" s="279"/>
      <c r="F15" s="127"/>
      <c r="G15" s="127"/>
      <c r="H15" s="127"/>
      <c r="I15" s="127"/>
      <c r="J15" s="127"/>
      <c r="K15" s="127"/>
      <c r="L15" s="19">
        <f>SUM(F15:K15)</f>
        <v>0</v>
      </c>
    </row>
    <row r="16" spans="1:12" ht="20.100000000000001" customHeight="1" x14ac:dyDescent="0.3">
      <c r="A16" s="271"/>
      <c r="B16" s="264" t="s">
        <v>22</v>
      </c>
      <c r="C16" s="265"/>
      <c r="D16" s="265"/>
      <c r="E16" s="277"/>
      <c r="F16" s="127"/>
      <c r="G16" s="127"/>
      <c r="H16" s="127"/>
      <c r="I16" s="127"/>
      <c r="J16" s="127"/>
      <c r="K16" s="127"/>
      <c r="L16" s="19">
        <f t="shared" ref="L16:L22" si="0">SUM(F16:K16)</f>
        <v>0</v>
      </c>
    </row>
    <row r="17" spans="1:12" ht="20.100000000000001" customHeight="1" x14ac:dyDescent="0.3">
      <c r="B17" s="264" t="s">
        <v>23</v>
      </c>
      <c r="C17" s="265"/>
      <c r="D17" s="265"/>
      <c r="E17" s="277"/>
      <c r="F17" s="127"/>
      <c r="G17" s="127"/>
      <c r="H17" s="127"/>
      <c r="I17" s="127"/>
      <c r="J17" s="127"/>
      <c r="K17" s="127"/>
      <c r="L17" s="19">
        <f t="shared" si="0"/>
        <v>0</v>
      </c>
    </row>
    <row r="18" spans="1:12" ht="20.100000000000001" customHeight="1" x14ac:dyDescent="0.3">
      <c r="B18" s="276" t="s">
        <v>31</v>
      </c>
      <c r="C18" s="282"/>
      <c r="D18" s="282"/>
      <c r="E18" s="283"/>
      <c r="F18" s="127"/>
      <c r="G18" s="127"/>
      <c r="H18" s="127"/>
      <c r="I18" s="127"/>
      <c r="J18" s="127"/>
      <c r="K18" s="127"/>
      <c r="L18" s="19">
        <f t="shared" si="0"/>
        <v>0</v>
      </c>
    </row>
    <row r="19" spans="1:12" ht="20.100000000000001" customHeight="1" x14ac:dyDescent="0.3">
      <c r="B19" s="264" t="s">
        <v>32</v>
      </c>
      <c r="C19" s="265"/>
      <c r="D19" s="265"/>
      <c r="E19" s="277"/>
      <c r="F19" s="127"/>
      <c r="G19" s="127"/>
      <c r="H19" s="127"/>
      <c r="I19" s="127"/>
      <c r="J19" s="127"/>
      <c r="K19" s="127"/>
      <c r="L19" s="19">
        <f t="shared" si="0"/>
        <v>0</v>
      </c>
    </row>
    <row r="20" spans="1:12" ht="20.100000000000001" customHeight="1" x14ac:dyDescent="0.3">
      <c r="B20" s="264" t="s">
        <v>33</v>
      </c>
      <c r="C20" s="265"/>
      <c r="D20" s="265"/>
      <c r="E20" s="277"/>
      <c r="F20" s="127"/>
      <c r="G20" s="127"/>
      <c r="H20" s="127"/>
      <c r="I20" s="127"/>
      <c r="J20" s="127"/>
      <c r="K20" s="127"/>
      <c r="L20" s="19">
        <f t="shared" si="0"/>
        <v>0</v>
      </c>
    </row>
    <row r="21" spans="1:12" ht="20.100000000000001" customHeight="1" x14ac:dyDescent="0.3">
      <c r="B21" s="264" t="s">
        <v>24</v>
      </c>
      <c r="C21" s="265"/>
      <c r="D21" s="265"/>
      <c r="E21" s="277"/>
      <c r="F21" s="127"/>
      <c r="G21" s="127"/>
      <c r="H21" s="127"/>
      <c r="I21" s="127"/>
      <c r="J21" s="127"/>
      <c r="K21" s="127"/>
      <c r="L21" s="19">
        <f t="shared" si="0"/>
        <v>0</v>
      </c>
    </row>
    <row r="22" spans="1:12" ht="24" customHeight="1" x14ac:dyDescent="0.3">
      <c r="B22" s="280" t="s">
        <v>126</v>
      </c>
      <c r="C22" s="281"/>
      <c r="D22" s="281"/>
      <c r="E22" s="281"/>
      <c r="F22" s="127"/>
      <c r="G22" s="127"/>
      <c r="H22" s="127"/>
      <c r="I22" s="127"/>
      <c r="J22" s="127"/>
      <c r="K22" s="127"/>
      <c r="L22" s="19">
        <f t="shared" si="0"/>
        <v>0</v>
      </c>
    </row>
    <row r="23" spans="1:12" ht="14.25" customHeight="1" x14ac:dyDescent="0.3"/>
    <row r="24" spans="1:12" ht="15.75" customHeight="1" thickBot="1" x14ac:dyDescent="0.35">
      <c r="B24" s="22" t="s">
        <v>26</v>
      </c>
      <c r="C24" s="3"/>
      <c r="D24" s="3"/>
      <c r="E24" s="3"/>
      <c r="F24" s="3"/>
      <c r="G24" s="3"/>
      <c r="H24" s="23"/>
      <c r="K24" s="24" t="s">
        <v>27</v>
      </c>
      <c r="L24" s="19">
        <f>SUM(L15:L22)</f>
        <v>0</v>
      </c>
    </row>
    <row r="25" spans="1:12" ht="18" customHeight="1" thickBot="1" x14ac:dyDescent="0.35">
      <c r="B25" s="25"/>
      <c r="H25" s="26"/>
      <c r="J25" s="24"/>
      <c r="K25" s="24" t="s">
        <v>34</v>
      </c>
      <c r="L25" s="27">
        <f>ROUND(L24/6,3)</f>
        <v>0</v>
      </c>
    </row>
    <row r="26" spans="1:12" x14ac:dyDescent="0.3">
      <c r="B26" s="25"/>
      <c r="H26" s="26"/>
      <c r="I26" s="28"/>
      <c r="J26" s="29"/>
      <c r="L26" s="30"/>
    </row>
    <row r="27" spans="1:12" x14ac:dyDescent="0.3">
      <c r="B27" s="31"/>
      <c r="C27" s="2"/>
      <c r="D27" s="2"/>
      <c r="E27" s="2"/>
      <c r="F27" s="2"/>
      <c r="G27" s="2"/>
      <c r="H27" s="32"/>
      <c r="K27" s="24" t="s">
        <v>35</v>
      </c>
      <c r="L27" s="29"/>
    </row>
    <row r="28" spans="1:12" ht="9.75" customHeight="1" thickBot="1" x14ac:dyDescent="0.35"/>
    <row r="29" spans="1:12" ht="22.5" customHeight="1" thickBot="1" x14ac:dyDescent="0.35">
      <c r="F29" s="38"/>
      <c r="H29" s="33"/>
      <c r="I29" s="49" t="s">
        <v>36</v>
      </c>
      <c r="J29" s="50"/>
      <c r="K29" s="51"/>
      <c r="L29" s="37">
        <f>ROUND(+L25/8,3)</f>
        <v>0</v>
      </c>
    </row>
    <row r="30" spans="1:12" ht="18" customHeight="1" x14ac:dyDescent="0.3">
      <c r="F30" s="38"/>
      <c r="H30" s="33"/>
      <c r="I30" s="33"/>
      <c r="J30" s="39"/>
      <c r="K30" s="24"/>
      <c r="L30" s="6"/>
    </row>
    <row r="31" spans="1:12" ht="18" customHeight="1" x14ac:dyDescent="0.3">
      <c r="F31" s="38"/>
      <c r="H31" s="33"/>
      <c r="I31" s="33"/>
      <c r="J31" s="39"/>
      <c r="K31" s="24"/>
      <c r="L31" s="6"/>
    </row>
    <row r="32" spans="1:12" ht="18" customHeight="1" x14ac:dyDescent="0.3">
      <c r="A32" s="2" t="s">
        <v>18</v>
      </c>
      <c r="B32" s="40"/>
      <c r="C32" s="40"/>
      <c r="D32" s="40"/>
      <c r="E32" s="40"/>
      <c r="F32" s="38"/>
      <c r="H32" s="2" t="s">
        <v>19</v>
      </c>
      <c r="I32" s="2"/>
      <c r="J32" s="2"/>
      <c r="K32" s="2"/>
      <c r="L32" s="2"/>
    </row>
    <row r="33" spans="6:12" ht="18" customHeight="1" x14ac:dyDescent="0.3">
      <c r="F33" s="38"/>
      <c r="H33" s="33"/>
      <c r="I33" s="33"/>
      <c r="J33" s="39"/>
      <c r="K33" s="24"/>
      <c r="L33" s="6"/>
    </row>
    <row r="34" spans="6:12" ht="18" customHeight="1" x14ac:dyDescent="0.3">
      <c r="F34" s="38"/>
      <c r="H34" s="33"/>
      <c r="I34" s="33"/>
      <c r="J34" s="39"/>
      <c r="K34" s="24"/>
      <c r="L34" s="6"/>
    </row>
  </sheetData>
  <mergeCells count="20">
    <mergeCell ref="B17:E17"/>
    <mergeCell ref="B16:E16"/>
    <mergeCell ref="B15:E15"/>
    <mergeCell ref="B22:E22"/>
    <mergeCell ref="B21:E21"/>
    <mergeCell ref="B20:E20"/>
    <mergeCell ref="B19:E19"/>
    <mergeCell ref="B18:E18"/>
    <mergeCell ref="C5:F5"/>
    <mergeCell ref="I7:L7"/>
    <mergeCell ref="C6:F6"/>
    <mergeCell ref="A15:A16"/>
    <mergeCell ref="C8:F8"/>
    <mergeCell ref="I9:L9"/>
    <mergeCell ref="C10:F10"/>
    <mergeCell ref="I10:L10"/>
    <mergeCell ref="I11:L11"/>
    <mergeCell ref="C9:F9"/>
    <mergeCell ref="I8:L8"/>
    <mergeCell ref="I12:L12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>&amp;R2024-01-28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2"/>
  <sheetViews>
    <sheetView showZeros="0" view="pageLayout" topLeftCell="A6" zoomScaleNormal="100" workbookViewId="0">
      <selection activeCell="C9" sqref="C9:F9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9" width="7.265625" style="1" customWidth="1"/>
    <col min="10" max="10" width="4.73046875" style="1" customWidth="1"/>
    <col min="11" max="11" width="10.265625" style="1" customWidth="1"/>
    <col min="12" max="12" width="10.7304687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2.5" customHeight="1" thickBot="1" x14ac:dyDescent="0.4">
      <c r="A2" s="7" t="s">
        <v>108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39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2" ht="17.100000000000001" customHeight="1" x14ac:dyDescent="0.3">
      <c r="H11" s="12" t="s">
        <v>4</v>
      </c>
      <c r="I11" s="261"/>
      <c r="J11" s="262"/>
      <c r="K11" s="262"/>
      <c r="L11" s="263"/>
    </row>
    <row r="12" spans="1:12" ht="17.100000000000001" customHeight="1" x14ac:dyDescent="0.3">
      <c r="H12" s="12" t="s">
        <v>5</v>
      </c>
      <c r="I12" s="261"/>
      <c r="J12" s="262"/>
      <c r="K12" s="262"/>
      <c r="L12" s="263"/>
    </row>
    <row r="13" spans="1:12" ht="9" customHeight="1" x14ac:dyDescent="0.3">
      <c r="H13" s="3"/>
      <c r="I13" s="3"/>
      <c r="J13" s="3"/>
      <c r="K13" s="3"/>
      <c r="L13" s="3"/>
    </row>
    <row r="14" spans="1:12" ht="17.100000000000001" customHeight="1" x14ac:dyDescent="0.3">
      <c r="A14" s="52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53"/>
      <c r="L14" s="54"/>
    </row>
    <row r="15" spans="1:12" ht="18" customHeight="1" x14ac:dyDescent="0.3">
      <c r="A15" s="25"/>
      <c r="K15" s="24"/>
      <c r="L15" s="55"/>
    </row>
    <row r="16" spans="1:12" ht="39" customHeight="1" x14ac:dyDescent="0.3">
      <c r="A16" s="25"/>
      <c r="L16" s="26"/>
    </row>
    <row r="17" spans="1:12" ht="18" customHeight="1" x14ac:dyDescent="0.3">
      <c r="A17" s="107" t="s">
        <v>37</v>
      </c>
      <c r="B17" s="108"/>
      <c r="C17" s="69"/>
      <c r="D17" s="12"/>
      <c r="E17" s="12"/>
      <c r="F17" s="12"/>
      <c r="G17" s="12"/>
      <c r="H17" s="12"/>
      <c r="I17" s="12"/>
      <c r="J17" s="12"/>
      <c r="K17" s="109"/>
      <c r="L17" s="110"/>
    </row>
    <row r="18" spans="1:12" ht="19.5" customHeight="1" x14ac:dyDescent="0.35">
      <c r="A18" s="7" t="s">
        <v>41</v>
      </c>
    </row>
    <row r="19" spans="1:12" ht="15" customHeight="1" x14ac:dyDescent="0.3">
      <c r="G19" s="26"/>
      <c r="H19" s="100" t="s">
        <v>52</v>
      </c>
      <c r="I19" s="56"/>
      <c r="K19" s="17" t="s">
        <v>53</v>
      </c>
    </row>
    <row r="20" spans="1:12" ht="15" customHeight="1" x14ac:dyDescent="0.3">
      <c r="B20" s="88" t="s">
        <v>48</v>
      </c>
      <c r="C20" s="47"/>
      <c r="D20" s="61"/>
      <c r="E20" s="128"/>
      <c r="F20" s="89">
        <v>0.5</v>
      </c>
      <c r="G20" s="101"/>
      <c r="H20" s="128"/>
      <c r="I20" s="91"/>
      <c r="J20" s="92"/>
      <c r="K20" s="93">
        <f>F20*H20</f>
        <v>0</v>
      </c>
    </row>
    <row r="21" spans="1:12" ht="15" customHeight="1" x14ac:dyDescent="0.3">
      <c r="B21" s="88" t="s">
        <v>49</v>
      </c>
      <c r="C21" s="47"/>
      <c r="D21" s="61"/>
      <c r="E21" s="128"/>
      <c r="F21" s="89">
        <v>0.3</v>
      </c>
      <c r="G21" s="101"/>
      <c r="H21" s="128"/>
      <c r="I21" s="91"/>
      <c r="J21" s="92"/>
      <c r="K21" s="93">
        <f>F21*H21</f>
        <v>0</v>
      </c>
    </row>
    <row r="22" spans="1:12" ht="15" customHeight="1" x14ac:dyDescent="0.3">
      <c r="B22" s="88" t="s">
        <v>50</v>
      </c>
      <c r="C22" s="47"/>
      <c r="D22" s="61"/>
      <c r="E22" s="128"/>
      <c r="F22" s="89">
        <v>0.1</v>
      </c>
      <c r="G22" s="101"/>
      <c r="H22" s="128"/>
      <c r="I22" s="91"/>
      <c r="J22" s="92"/>
      <c r="K22" s="93">
        <f>F22*H22</f>
        <v>0</v>
      </c>
    </row>
    <row r="23" spans="1:12" ht="12.75" thickBot="1" x14ac:dyDescent="0.35">
      <c r="B23" s="47" t="s">
        <v>51</v>
      </c>
      <c r="C23" s="48"/>
      <c r="D23" s="48"/>
      <c r="E23" s="62">
        <f>SUM(E20:E22)</f>
        <v>0</v>
      </c>
      <c r="F23" s="92"/>
      <c r="G23" s="21"/>
      <c r="H23" s="21"/>
      <c r="I23" s="21"/>
      <c r="J23" s="21"/>
      <c r="K23" s="21"/>
    </row>
    <row r="24" spans="1:12" ht="21" customHeight="1" thickBot="1" x14ac:dyDescent="0.4">
      <c r="G24" s="72" t="s">
        <v>54</v>
      </c>
      <c r="H24" s="10"/>
      <c r="I24" s="10"/>
      <c r="J24" s="102"/>
      <c r="K24" s="103">
        <f>IF(SUM(K20:K23)&gt;10,10,SUM(K20:K23))</f>
        <v>0</v>
      </c>
      <c r="L24" s="75">
        <v>0.3</v>
      </c>
    </row>
    <row r="25" spans="1:12" ht="23.25" customHeight="1" x14ac:dyDescent="0.3">
      <c r="A25" s="4" t="s">
        <v>42</v>
      </c>
    </row>
    <row r="26" spans="1:12" ht="8.25" customHeight="1" x14ac:dyDescent="0.3">
      <c r="B26" s="21"/>
      <c r="C26" s="21"/>
      <c r="D26" s="21"/>
      <c r="E26" s="21"/>
      <c r="F26" s="21"/>
      <c r="G26" s="21"/>
      <c r="H26" s="58"/>
      <c r="I26" s="56"/>
      <c r="J26" s="59"/>
      <c r="K26" s="60"/>
    </row>
    <row r="27" spans="1:12" ht="15" customHeight="1" x14ac:dyDescent="0.3">
      <c r="B27" s="47" t="s">
        <v>44</v>
      </c>
      <c r="C27" s="48"/>
      <c r="D27" s="61"/>
      <c r="E27" s="128"/>
      <c r="F27" s="47" t="s">
        <v>47</v>
      </c>
      <c r="G27" s="61"/>
      <c r="H27" s="63">
        <f>E23</f>
        <v>0</v>
      </c>
      <c r="I27" s="64">
        <f>IFERROR(E27/H27,10)</f>
        <v>10</v>
      </c>
      <c r="J27" s="59"/>
      <c r="K27" s="65">
        <f>10-I27</f>
        <v>0</v>
      </c>
    </row>
    <row r="28" spans="1:12" ht="8.25" customHeight="1" x14ac:dyDescent="0.3">
      <c r="B28" s="21"/>
      <c r="C28" s="21"/>
      <c r="D28" s="21"/>
      <c r="E28" s="21"/>
      <c r="F28" s="21"/>
      <c r="G28" s="21"/>
      <c r="H28" s="58"/>
      <c r="I28" s="56"/>
      <c r="J28" s="59"/>
      <c r="K28" s="60"/>
    </row>
    <row r="29" spans="1:12" x14ac:dyDescent="0.3">
      <c r="I29" s="66"/>
      <c r="J29" s="67"/>
      <c r="K29" s="68"/>
    </row>
    <row r="30" spans="1:12" ht="15" customHeight="1" x14ac:dyDescent="0.3">
      <c r="E30" s="69" t="s">
        <v>37</v>
      </c>
      <c r="F30" s="12"/>
      <c r="G30" s="12"/>
      <c r="H30" s="12"/>
      <c r="I30" s="70"/>
      <c r="J30" s="71"/>
      <c r="K30" s="129"/>
    </row>
    <row r="31" spans="1:12" ht="7.5" customHeight="1" thickBot="1" x14ac:dyDescent="0.35">
      <c r="K31" s="68"/>
      <c r="L31" s="57"/>
    </row>
    <row r="32" spans="1:12" ht="20.25" customHeight="1" thickBot="1" x14ac:dyDescent="0.35">
      <c r="G32" s="72" t="s">
        <v>45</v>
      </c>
      <c r="H32" s="10"/>
      <c r="I32" s="10"/>
      <c r="J32" s="73"/>
      <c r="K32" s="74">
        <f>K27-K30</f>
        <v>0</v>
      </c>
      <c r="L32" s="75">
        <v>0.7</v>
      </c>
    </row>
    <row r="33" spans="1:12" ht="11.25" customHeight="1" thickBot="1" x14ac:dyDescent="0.35"/>
    <row r="34" spans="1:12" ht="20.25" customHeight="1" thickBot="1" x14ac:dyDescent="0.35">
      <c r="I34" s="49" t="s">
        <v>46</v>
      </c>
      <c r="J34" s="76"/>
      <c r="K34" s="76"/>
      <c r="L34" s="104">
        <f>ROUND(K24*0.3 + K32*0.7,3)</f>
        <v>0</v>
      </c>
    </row>
    <row r="35" spans="1:12" x14ac:dyDescent="0.3">
      <c r="L35" s="105"/>
    </row>
    <row r="36" spans="1:12" x14ac:dyDescent="0.3">
      <c r="L36" s="105"/>
    </row>
    <row r="37" spans="1:12" x14ac:dyDescent="0.3">
      <c r="L37" s="105"/>
    </row>
    <row r="42" spans="1:12" x14ac:dyDescent="0.3">
      <c r="A42" s="2" t="s">
        <v>18</v>
      </c>
      <c r="B42" s="40"/>
      <c r="C42" s="40"/>
      <c r="D42" s="40"/>
      <c r="E42" s="40"/>
      <c r="H42" s="2" t="s">
        <v>19</v>
      </c>
      <c r="I42" s="2"/>
      <c r="J42" s="2"/>
      <c r="K42" s="2"/>
      <c r="L42" s="2"/>
    </row>
  </sheetData>
  <mergeCells count="11">
    <mergeCell ref="C10:F10"/>
    <mergeCell ref="I10:L10"/>
    <mergeCell ref="I11:L11"/>
    <mergeCell ref="I12:L12"/>
    <mergeCell ref="C5:F5"/>
    <mergeCell ref="C6:F6"/>
    <mergeCell ref="I7:L7"/>
    <mergeCell ref="C8:F8"/>
    <mergeCell ref="I8:L8"/>
    <mergeCell ref="C9:F9"/>
    <mergeCell ref="I9:L9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&amp;R2019-06-01
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2"/>
  <sheetViews>
    <sheetView showZeros="0" view="pageLayout" zoomScaleNormal="100" workbookViewId="0">
      <selection activeCell="E17" sqref="E17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0.6640625" style="1" customWidth="1"/>
    <col min="5" max="7" width="7.265625" style="1" customWidth="1"/>
    <col min="8" max="8" width="7" style="1" customWidth="1"/>
    <col min="9" max="9" width="7.265625" style="1" customWidth="1"/>
    <col min="10" max="10" width="7.33203125" style="1" customWidth="1"/>
    <col min="11" max="11" width="10.265625" style="1" customWidth="1"/>
    <col min="12" max="12" width="10.7304687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2.5" customHeight="1" thickBot="1" x14ac:dyDescent="0.4">
      <c r="A2" s="7" t="s">
        <v>101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39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2" ht="17.100000000000001" customHeight="1" x14ac:dyDescent="0.3">
      <c r="H11" s="12" t="s">
        <v>4</v>
      </c>
      <c r="I11" s="261"/>
      <c r="J11" s="262"/>
      <c r="K11" s="262"/>
      <c r="L11" s="263"/>
    </row>
    <row r="12" spans="1:12" ht="17.100000000000001" customHeight="1" x14ac:dyDescent="0.3">
      <c r="H12" s="12" t="s">
        <v>5</v>
      </c>
      <c r="I12" s="261"/>
      <c r="J12" s="262"/>
      <c r="K12" s="262"/>
      <c r="L12" s="263"/>
    </row>
    <row r="13" spans="1:12" ht="9" customHeight="1" x14ac:dyDescent="0.3">
      <c r="H13" s="3"/>
      <c r="I13" s="3"/>
      <c r="J13" s="3"/>
      <c r="K13" s="3"/>
      <c r="L13" s="3"/>
    </row>
    <row r="14" spans="1:12" ht="17.100000000000001" customHeight="1" x14ac:dyDescent="0.3">
      <c r="A14" s="52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53"/>
      <c r="L14" s="54"/>
    </row>
    <row r="15" spans="1:12" ht="18" customHeight="1" x14ac:dyDescent="0.3">
      <c r="A15" s="284"/>
      <c r="B15" s="285"/>
      <c r="C15" s="285"/>
      <c r="D15" s="285"/>
      <c r="E15" s="285"/>
      <c r="F15" s="285"/>
      <c r="G15" s="285"/>
      <c r="H15" s="285"/>
      <c r="I15" s="285"/>
      <c r="J15" s="285"/>
      <c r="K15" s="285"/>
      <c r="L15" s="286"/>
    </row>
    <row r="16" spans="1:12" ht="39" customHeight="1" x14ac:dyDescent="0.3">
      <c r="A16" s="287"/>
      <c r="B16" s="267"/>
      <c r="C16" s="267"/>
      <c r="D16" s="267"/>
      <c r="E16" s="267"/>
      <c r="F16" s="267"/>
      <c r="G16" s="267"/>
      <c r="H16" s="267"/>
      <c r="I16" s="267"/>
      <c r="J16" s="267"/>
      <c r="K16" s="267"/>
      <c r="L16" s="268"/>
    </row>
    <row r="17" spans="1:12" ht="18" customHeight="1" x14ac:dyDescent="0.3">
      <c r="A17" s="107" t="s">
        <v>37</v>
      </c>
      <c r="B17" s="108"/>
      <c r="C17" s="69"/>
      <c r="D17" s="12"/>
      <c r="E17" s="129"/>
      <c r="F17" s="129"/>
      <c r="G17" s="129"/>
      <c r="H17" s="129"/>
      <c r="I17" s="129"/>
      <c r="J17" s="129"/>
      <c r="K17" s="109"/>
      <c r="L17" s="110"/>
    </row>
    <row r="18" spans="1:12" ht="19.5" customHeight="1" x14ac:dyDescent="0.35">
      <c r="A18" s="7" t="s">
        <v>41</v>
      </c>
    </row>
    <row r="19" spans="1:12" ht="15" customHeight="1" x14ac:dyDescent="0.3">
      <c r="G19" s="26"/>
      <c r="H19" s="100" t="s">
        <v>52</v>
      </c>
      <c r="I19" s="56"/>
      <c r="K19" s="17" t="s">
        <v>53</v>
      </c>
    </row>
    <row r="20" spans="1:12" ht="15" customHeight="1" x14ac:dyDescent="0.3">
      <c r="B20" s="88" t="s">
        <v>48</v>
      </c>
      <c r="C20" s="47"/>
      <c r="D20" s="61"/>
      <c r="E20" s="128">
        <f>LEN(A$15)-LEN(SUBSTITUTE(A$15,"D",""))+LEN(A$15)-LEN(SUBSTITUTE(A$15,"S",""))</f>
        <v>0</v>
      </c>
      <c r="F20" s="89">
        <v>0.5</v>
      </c>
      <c r="G20" s="101"/>
      <c r="H20" s="128"/>
      <c r="I20" s="91"/>
      <c r="J20" s="92"/>
      <c r="K20" s="93">
        <f>F20*H20</f>
        <v>0</v>
      </c>
    </row>
    <row r="21" spans="1:12" ht="15" customHeight="1" x14ac:dyDescent="0.3">
      <c r="B21" s="88" t="s">
        <v>49</v>
      </c>
      <c r="C21" s="47"/>
      <c r="D21" s="61"/>
      <c r="E21" s="128">
        <f>LEN(A$15)-LEN(SUBSTITUTE(A$15,"M",""))</f>
        <v>0</v>
      </c>
      <c r="F21" s="89">
        <v>0.3</v>
      </c>
      <c r="G21" s="101"/>
      <c r="H21" s="128"/>
      <c r="I21" s="91"/>
      <c r="J21" s="92"/>
      <c r="K21" s="93">
        <f>F21*H21</f>
        <v>0</v>
      </c>
    </row>
    <row r="22" spans="1:12" ht="15" customHeight="1" x14ac:dyDescent="0.3">
      <c r="B22" s="88" t="s">
        <v>50</v>
      </c>
      <c r="C22" s="47"/>
      <c r="D22" s="61"/>
      <c r="E22" s="128">
        <f>LEN(A$15)-LEN(SUBSTITUTE(A$15,"E",""))+LEN(A$15)-LEN(SUBSTITUTE(A$15,"L",""))</f>
        <v>0</v>
      </c>
      <c r="F22" s="89">
        <v>0.1</v>
      </c>
      <c r="G22" s="101"/>
      <c r="H22" s="128"/>
      <c r="I22" s="91"/>
      <c r="J22" s="92"/>
      <c r="K22" s="93">
        <f>F22*H22</f>
        <v>0</v>
      </c>
    </row>
    <row r="23" spans="1:12" ht="12.75" thickBot="1" x14ac:dyDescent="0.35">
      <c r="B23" s="47" t="s">
        <v>51</v>
      </c>
      <c r="C23" s="48"/>
      <c r="D23" s="48"/>
      <c r="E23" s="62">
        <f>SUM(E20:E22)</f>
        <v>0</v>
      </c>
      <c r="F23" s="92"/>
      <c r="G23" s="21"/>
      <c r="H23" s="21"/>
      <c r="I23" s="21"/>
      <c r="J23" s="21"/>
      <c r="K23" s="21"/>
    </row>
    <row r="24" spans="1:12" ht="21" customHeight="1" thickBot="1" x14ac:dyDescent="0.4">
      <c r="G24" s="72" t="s">
        <v>54</v>
      </c>
      <c r="H24" s="10"/>
      <c r="I24" s="10"/>
      <c r="J24" s="102"/>
      <c r="K24" s="103">
        <f>IF(SUM(K20:K23)&gt;10,10,SUM(K20:K23))</f>
        <v>0</v>
      </c>
      <c r="L24" s="75">
        <v>0.3</v>
      </c>
    </row>
    <row r="25" spans="1:12" ht="23.25" customHeight="1" x14ac:dyDescent="0.3">
      <c r="A25" s="4" t="s">
        <v>42</v>
      </c>
    </row>
    <row r="26" spans="1:12" ht="8.25" customHeight="1" x14ac:dyDescent="0.3">
      <c r="B26" s="21"/>
      <c r="C26" s="21"/>
      <c r="D26" s="21"/>
      <c r="E26" s="21"/>
      <c r="F26" s="21"/>
      <c r="G26" s="21"/>
      <c r="H26" s="58"/>
      <c r="I26" s="56"/>
      <c r="J26" s="59"/>
      <c r="K26" s="60"/>
    </row>
    <row r="27" spans="1:12" ht="15" customHeight="1" x14ac:dyDescent="0.3">
      <c r="B27" s="47" t="s">
        <v>44</v>
      </c>
      <c r="C27" s="48"/>
      <c r="D27" s="61"/>
      <c r="E27" s="128">
        <f xml:space="preserve">
(LEN(SUBSTITUTE(SUBSTITUTE(SUBSTITUTE(SUBSTITUTE(SUBSTITUTE(SUBSTITUTE($A$15,"M",""),"D",""),"E",""),"L",""),"S",""),"R",""))-LEN(SUBSTITUTE(SUBSTITUTE(SUBSTITUTE(SUBSTITUTE(SUBSTITUTE(SUBSTITUTE(SUBSTITUTE($A$15,"M",""),"D",""),"E",""),"L",""),"S",""),"R",""),"1","")))*1+(LEN(SUBSTITUTE(SUBSTITUTE(SUBSTITUTE(SUBSTITUTE(SUBSTITUTE(SUBSTITUTE($A$15,"M",""),"D",""),"E",""),"L",""),"S",""),"R",""))-LEN(SUBSTITUTE(SUBSTITUTE(SUBSTITUTE(SUBSTITUTE(SUBSTITUTE(SUBSTITUTE(SUBSTITUTE($A$15,"M",""),"D",""),"E",""),"L",""),"S",""),"R",""),"2","")))*2+(LEN(SUBSTITUTE(SUBSTITUTE(SUBSTITUTE(SUBSTITUTE(SUBSTITUTE(SUBSTITUTE($A$15,"M",""),"D",""),"E",""),"L",""),"S",""),"R",""))-LEN(SUBSTITUTE(SUBSTITUTE(SUBSTITUTE(SUBSTITUTE(SUBSTITUTE(SUBSTITUTE(SUBSTITUTE($A$15,"M",""),"D",""),"E",""),"L",""),"S",""),"R",""),"3","")))*3+(LEN(SUBSTITUTE(SUBSTITUTE(SUBSTITUTE(SUBSTITUTE(SUBSTITUTE(SUBSTITUTE($A$15,"M",""),"D",""),"E",""),"L",""),"S",""),"R",""))-LEN(SUBSTITUTE(SUBSTITUTE(SUBSTITUTE(SUBSTITUTE(SUBSTITUTE(SUBSTITUTE(SUBSTITUTE($A$15,"M",""),"D",""),"E",""),"L",""),"S",""),"R",""),"4","")))*4+(LEN(SUBSTITUTE(SUBSTITUTE(SUBSTITUTE(SUBSTITUTE(SUBSTITUTE(SUBSTITUTE($A$15,"M",""),"D",""),"E",""),"L",""),"S",""),"R",""))-LEN(SUBSTITUTE(SUBSTITUTE(SUBSTITUTE(SUBSTITUTE(SUBSTITUTE(SUBSTITUTE(SUBSTITUTE($A$15,"M",""),"D",""),"E",""),"L",""),"S",""),"R",""),"5","")))*5+(LEN(SUBSTITUTE(SUBSTITUTE(SUBSTITUTE(SUBSTITUTE(SUBSTITUTE(SUBSTITUTE($A$15,"M",""),"D",""),"E",""),"L",""),"S",""),"R",""))-LEN(SUBSTITUTE(SUBSTITUTE(SUBSTITUTE(SUBSTITUTE(SUBSTITUTE(SUBSTITUTE(SUBSTITUTE($A$15,"M",""),"D",""),"E",""),"L",""),"S",""),"R",""),"6","")))*6+(LEN(SUBSTITUTE(SUBSTITUTE(SUBSTITUTE(SUBSTITUTE(SUBSTITUTE(SUBSTITUTE($A$15,"M",""),"D",""),"E",""),"L",""),"S",""),"R",""))-LEN(SUBSTITUTE(SUBSTITUTE(SUBSTITUTE(SUBSTITUTE(SUBSTITUTE(SUBSTITUTE(SUBSTITUTE($A$15,"M",""),"D",""),"E",""),"L",""),"S",""),"R",""),"7","")))*7+(LEN(SUBSTITUTE(SUBSTITUTE(SUBSTITUTE(SUBSTITUTE(SUBSTITUTE(SUBSTITUTE($A$15,"M",""),"D",""),"E",""),"L",""),"S",""),"R",""))-LEN(SUBSTITUTE(SUBSTITUTE(SUBSTITUTE(SUBSTITUTE(SUBSTITUTE(SUBSTITUTE(SUBSTITUTE($A$15,"M",""),"D",""),"E",""),"L",""),"S",""),"R",""),"8","")))*8+(LEN(SUBSTITUTE(SUBSTITUTE(SUBSTITUTE(SUBSTITUTE(SUBSTITUTE(SUBSTITUTE($A$15,"M",""),"D",""),"E",""),"L",""),"S",""),"R",""))-LEN(SUBSTITUTE(SUBSTITUTE(SUBSTITUTE(SUBSTITUTE(SUBSTITUTE(SUBSTITUTE(SUBSTITUTE($A$15,"M",""),"D",""),"E",""),"L",""),"S",""),"R",""),"9","")))*9</f>
        <v>0</v>
      </c>
      <c r="F27" s="47" t="s">
        <v>47</v>
      </c>
      <c r="G27" s="61"/>
      <c r="H27" s="63">
        <f>E23</f>
        <v>0</v>
      </c>
      <c r="I27" s="64">
        <f>IFERROR(E27/H27,10)</f>
        <v>10</v>
      </c>
      <c r="J27" s="59"/>
      <c r="K27" s="65">
        <f>10-I27</f>
        <v>0</v>
      </c>
    </row>
    <row r="28" spans="1:12" ht="8.25" customHeight="1" x14ac:dyDescent="0.3">
      <c r="B28" s="21"/>
      <c r="C28" s="21"/>
      <c r="D28" s="21"/>
      <c r="E28" s="21"/>
      <c r="F28" s="21"/>
      <c r="G28" s="21"/>
      <c r="H28" s="58"/>
      <c r="I28" s="56"/>
      <c r="J28" s="59"/>
      <c r="K28" s="60"/>
    </row>
    <row r="29" spans="1:12" x14ac:dyDescent="0.3">
      <c r="I29" s="66"/>
      <c r="J29" s="67"/>
      <c r="K29" s="68"/>
    </row>
    <row r="30" spans="1:12" ht="15" customHeight="1" x14ac:dyDescent="0.3">
      <c r="E30" s="69" t="s">
        <v>37</v>
      </c>
      <c r="F30" s="12"/>
      <c r="G30" s="12"/>
      <c r="H30" s="12"/>
      <c r="I30" s="70"/>
      <c r="J30" s="71"/>
      <c r="K30" s="171">
        <f>SUM(E17:J17)</f>
        <v>0</v>
      </c>
    </row>
    <row r="31" spans="1:12" ht="7.5" customHeight="1" thickBot="1" x14ac:dyDescent="0.35">
      <c r="K31" s="68"/>
      <c r="L31" s="57"/>
    </row>
    <row r="32" spans="1:12" ht="20.25" customHeight="1" thickBot="1" x14ac:dyDescent="0.35">
      <c r="G32" s="72" t="s">
        <v>45</v>
      </c>
      <c r="H32" s="10"/>
      <c r="I32" s="10"/>
      <c r="J32" s="73"/>
      <c r="K32" s="74">
        <f>K27-K30</f>
        <v>0</v>
      </c>
      <c r="L32" s="75">
        <v>0.7</v>
      </c>
    </row>
    <row r="33" spans="1:12" ht="11.25" customHeight="1" thickBot="1" x14ac:dyDescent="0.35"/>
    <row r="34" spans="1:12" ht="20.25" customHeight="1" thickBot="1" x14ac:dyDescent="0.35">
      <c r="I34" s="49" t="s">
        <v>46</v>
      </c>
      <c r="J34" s="76"/>
      <c r="K34" s="76"/>
      <c r="L34" s="104">
        <f>ROUND(K24*0.3 + K32*0.7,3)</f>
        <v>0</v>
      </c>
    </row>
    <row r="35" spans="1:12" x14ac:dyDescent="0.3">
      <c r="L35" s="105"/>
    </row>
    <row r="36" spans="1:12" x14ac:dyDescent="0.3">
      <c r="L36" s="105"/>
    </row>
    <row r="37" spans="1:12" x14ac:dyDescent="0.3">
      <c r="L37" s="105"/>
    </row>
    <row r="42" spans="1:12" x14ac:dyDescent="0.3">
      <c r="A42" s="2" t="s">
        <v>18</v>
      </c>
      <c r="B42" s="40"/>
      <c r="C42" s="40"/>
      <c r="D42" s="40"/>
      <c r="E42" s="40"/>
      <c r="H42" s="2" t="s">
        <v>19</v>
      </c>
      <c r="I42" s="2"/>
      <c r="J42" s="2"/>
      <c r="K42" s="2"/>
      <c r="L42" s="2"/>
    </row>
  </sheetData>
  <mergeCells count="12">
    <mergeCell ref="A15:L16"/>
    <mergeCell ref="C5:F5"/>
    <mergeCell ref="I7:L7"/>
    <mergeCell ref="I8:L8"/>
    <mergeCell ref="C6:F6"/>
    <mergeCell ref="I12:L12"/>
    <mergeCell ref="I9:L9"/>
    <mergeCell ref="C9:F9"/>
    <mergeCell ref="C10:F10"/>
    <mergeCell ref="C8:F8"/>
    <mergeCell ref="I11:L11"/>
    <mergeCell ref="I10:L10"/>
  </mergeCells>
  <phoneticPr fontId="1" type="noConversion"/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&amp;R2019-06-01
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2"/>
  <sheetViews>
    <sheetView showZeros="0" view="pageLayout" topLeftCell="A3" zoomScaleNormal="100" workbookViewId="0">
      <selection activeCell="K31" sqref="K31"/>
    </sheetView>
  </sheetViews>
  <sheetFormatPr defaultColWidth="9.1328125" defaultRowHeight="12.4" x14ac:dyDescent="0.3"/>
  <cols>
    <col min="1" max="1" width="5.7304687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9" width="5.9296875" style="1" customWidth="1"/>
    <col min="10" max="10" width="6.3984375" style="1" customWidth="1"/>
    <col min="11" max="11" width="10.265625" style="1" customWidth="1"/>
    <col min="12" max="12" width="10.73046875" style="1" customWidth="1"/>
    <col min="13" max="13" width="7.265625" style="1" customWidth="1"/>
    <col min="14" max="16384" width="9.1328125" style="1"/>
  </cols>
  <sheetData>
    <row r="1" spans="1:12" ht="6" customHeight="1" thickBot="1" x14ac:dyDescent="0.35"/>
    <row r="2" spans="1:12" ht="22.5" customHeight="1" thickBot="1" x14ac:dyDescent="0.4">
      <c r="A2" s="7" t="s">
        <v>98</v>
      </c>
      <c r="H2" s="9"/>
      <c r="I2" s="13" t="s">
        <v>62</v>
      </c>
      <c r="J2" s="10"/>
      <c r="K2" s="11"/>
      <c r="L2" s="11"/>
    </row>
    <row r="3" spans="1:12" ht="24" customHeight="1" thickBot="1" x14ac:dyDescent="0.35">
      <c r="A3" s="4" t="s">
        <v>39</v>
      </c>
      <c r="H3" s="9"/>
      <c r="I3" s="13" t="s">
        <v>63</v>
      </c>
      <c r="J3" s="10"/>
      <c r="K3" s="11"/>
      <c r="L3" s="11"/>
    </row>
    <row r="4" spans="1:12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2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2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2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2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2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2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2" ht="17.100000000000001" customHeight="1" x14ac:dyDescent="0.3">
      <c r="H11" s="12" t="s">
        <v>4</v>
      </c>
      <c r="I11" s="261"/>
      <c r="J11" s="262"/>
      <c r="K11" s="262"/>
      <c r="L11" s="263"/>
    </row>
    <row r="12" spans="1:12" ht="17.100000000000001" customHeight="1" x14ac:dyDescent="0.3">
      <c r="H12" s="12" t="s">
        <v>5</v>
      </c>
      <c r="I12" s="261"/>
      <c r="J12" s="262"/>
      <c r="K12" s="262"/>
      <c r="L12" s="263"/>
    </row>
    <row r="13" spans="1:12" ht="9" customHeight="1" x14ac:dyDescent="0.3">
      <c r="H13" s="3"/>
      <c r="I13" s="3"/>
      <c r="J13" s="3"/>
      <c r="K13" s="3"/>
      <c r="L13" s="3"/>
    </row>
    <row r="14" spans="1:12" ht="17.100000000000001" customHeight="1" x14ac:dyDescent="0.3">
      <c r="A14" s="52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53"/>
      <c r="L14" s="54"/>
    </row>
    <row r="15" spans="1:12" ht="18" customHeight="1" x14ac:dyDescent="0.3">
      <c r="A15" s="284"/>
      <c r="B15" s="285"/>
      <c r="C15" s="285"/>
      <c r="D15" s="285"/>
      <c r="E15" s="285"/>
      <c r="F15" s="285"/>
      <c r="G15" s="285"/>
      <c r="H15" s="285"/>
      <c r="I15" s="285"/>
      <c r="J15" s="285"/>
      <c r="K15" s="285"/>
      <c r="L15" s="286"/>
    </row>
    <row r="16" spans="1:12" ht="39" customHeight="1" x14ac:dyDescent="0.3">
      <c r="A16" s="287"/>
      <c r="B16" s="267"/>
      <c r="C16" s="267"/>
      <c r="D16" s="267"/>
      <c r="E16" s="267"/>
      <c r="F16" s="267"/>
      <c r="G16" s="267"/>
      <c r="H16" s="267"/>
      <c r="I16" s="267"/>
      <c r="J16" s="267"/>
      <c r="K16" s="267"/>
      <c r="L16" s="268"/>
    </row>
    <row r="17" spans="1:12" ht="18" customHeight="1" x14ac:dyDescent="0.3">
      <c r="A17" s="107" t="s">
        <v>37</v>
      </c>
      <c r="B17" s="108"/>
      <c r="C17" s="69"/>
      <c r="D17" s="12"/>
      <c r="E17" s="129">
        <v>0</v>
      </c>
      <c r="F17" s="129">
        <v>0</v>
      </c>
      <c r="G17" s="129">
        <v>0</v>
      </c>
      <c r="H17" s="129">
        <v>0</v>
      </c>
      <c r="I17" s="129">
        <v>0</v>
      </c>
      <c r="J17" s="129">
        <v>0</v>
      </c>
      <c r="K17" s="109"/>
      <c r="L17" s="110"/>
    </row>
    <row r="18" spans="1:12" ht="19.5" customHeight="1" x14ac:dyDescent="0.35">
      <c r="A18" s="7" t="s">
        <v>41</v>
      </c>
    </row>
    <row r="19" spans="1:12" ht="15" customHeight="1" x14ac:dyDescent="0.3">
      <c r="G19" s="26"/>
      <c r="H19" s="87" t="s">
        <v>55</v>
      </c>
      <c r="I19" s="56"/>
      <c r="K19" s="17" t="s">
        <v>53</v>
      </c>
    </row>
    <row r="20" spans="1:12" ht="15" customHeight="1" x14ac:dyDescent="0.3">
      <c r="B20" s="88" t="s">
        <v>48</v>
      </c>
      <c r="C20" s="47"/>
      <c r="D20" s="61"/>
      <c r="E20" s="128">
        <f>LEN(A$15)-LEN(SUBSTITUTE(A$15,"D",""))+LEN(A$15)-LEN(SUBSTITUTE(A$15,"S",""))</f>
        <v>0</v>
      </c>
      <c r="F20" s="89">
        <v>0.4</v>
      </c>
      <c r="G20" s="90"/>
      <c r="H20" s="62">
        <f>IF(E20&gt;24,25,E20)</f>
        <v>0</v>
      </c>
      <c r="I20" s="91"/>
      <c r="J20" s="92"/>
      <c r="K20" s="93">
        <f>F20*H20</f>
        <v>0</v>
      </c>
      <c r="L20" s="21"/>
    </row>
    <row r="21" spans="1:12" ht="15" customHeight="1" x14ac:dyDescent="0.3">
      <c r="B21" s="88" t="s">
        <v>49</v>
      </c>
      <c r="C21" s="47"/>
      <c r="D21" s="61"/>
      <c r="E21" s="128">
        <f>LEN(A$15)-LEN(SUBSTITUTE(A$15,"M",""))</f>
        <v>0</v>
      </c>
      <c r="F21" s="89">
        <v>0.3</v>
      </c>
      <c r="G21" s="90"/>
      <c r="H21" s="62">
        <f>IF(SUM(E20:E21)&gt;24,25-H20,E21)</f>
        <v>0</v>
      </c>
      <c r="I21" s="91"/>
      <c r="J21" s="92"/>
      <c r="K21" s="93">
        <f>F21*H21</f>
        <v>0</v>
      </c>
      <c r="L21" s="21"/>
    </row>
    <row r="22" spans="1:12" ht="15" customHeight="1" x14ac:dyDescent="0.3">
      <c r="B22" s="88" t="s">
        <v>50</v>
      </c>
      <c r="C22" s="47"/>
      <c r="D22" s="61"/>
      <c r="E22" s="128">
        <f>LEN(A$15)-LEN(SUBSTITUTE(A$15,"E",""))+LEN(A$15)-LEN(SUBSTITUTE(A$15,"L",""))</f>
        <v>0</v>
      </c>
      <c r="F22" s="89">
        <v>0.1</v>
      </c>
      <c r="G22" s="90"/>
      <c r="H22" s="62">
        <f>IF(SUM(E20:E22)&gt;24,IF(25-SUM(H20:H21)&gt;0,25-SUM(H20:H21),0),E22)</f>
        <v>0</v>
      </c>
      <c r="I22" s="91"/>
      <c r="J22" s="92"/>
      <c r="K22" s="93">
        <f>F22*H22</f>
        <v>0</v>
      </c>
      <c r="L22" s="21"/>
    </row>
    <row r="23" spans="1:12" ht="12.75" thickBot="1" x14ac:dyDescent="0.35">
      <c r="B23" s="47" t="s">
        <v>51</v>
      </c>
      <c r="C23" s="48"/>
      <c r="D23" s="48"/>
      <c r="E23" s="62">
        <f>SUM(E20:E22)</f>
        <v>0</v>
      </c>
      <c r="F23" s="92"/>
      <c r="G23" s="92"/>
      <c r="H23" s="92"/>
      <c r="I23" s="92"/>
      <c r="J23" s="92"/>
      <c r="K23" s="92"/>
      <c r="L23" s="21"/>
    </row>
    <row r="24" spans="1:12" ht="21" customHeight="1" thickBot="1" x14ac:dyDescent="0.35">
      <c r="B24" s="21"/>
      <c r="C24" s="21"/>
      <c r="D24" s="21"/>
      <c r="E24" s="92"/>
      <c r="F24" s="92"/>
      <c r="G24" s="94" t="s">
        <v>54</v>
      </c>
      <c r="H24" s="95"/>
      <c r="I24" s="95"/>
      <c r="J24" s="96"/>
      <c r="K24" s="74">
        <f>IF(SUM(K20:K23)&gt;10,10,SUM(K20:K23))</f>
        <v>0</v>
      </c>
      <c r="L24" s="75">
        <v>0.3</v>
      </c>
    </row>
    <row r="25" spans="1:12" ht="21" customHeight="1" x14ac:dyDescent="0.3">
      <c r="B25" s="21"/>
      <c r="C25" s="21"/>
      <c r="D25" s="21"/>
      <c r="E25" s="92"/>
      <c r="F25" s="92"/>
      <c r="G25" s="97"/>
      <c r="H25" s="92"/>
      <c r="I25" s="92"/>
      <c r="J25" s="98"/>
      <c r="K25" s="99"/>
      <c r="L25" s="75"/>
    </row>
    <row r="26" spans="1:12" ht="19.5" customHeight="1" x14ac:dyDescent="0.3">
      <c r="A26" s="4" t="s">
        <v>42</v>
      </c>
    </row>
    <row r="27" spans="1:12" ht="8.25" customHeight="1" x14ac:dyDescent="0.3">
      <c r="B27" s="21"/>
      <c r="C27" s="21"/>
      <c r="D27" s="21"/>
      <c r="E27" s="21"/>
      <c r="F27" s="21"/>
      <c r="G27" s="21"/>
      <c r="H27" s="58"/>
      <c r="I27" s="56"/>
      <c r="J27" s="59"/>
      <c r="K27" s="60"/>
    </row>
    <row r="28" spans="1:12" ht="15" customHeight="1" x14ac:dyDescent="0.3">
      <c r="B28" s="47" t="s">
        <v>44</v>
      </c>
      <c r="C28" s="48"/>
      <c r="D28" s="61"/>
      <c r="E28" s="128">
        <f xml:space="preserve">
(LEN(SUBSTITUTE(SUBSTITUTE(SUBSTITUTE(SUBSTITUTE(SUBSTITUTE(SUBSTITUTE($A$15,"M",""),"D",""),"E",""),"L",""),"S",""),"R",""))-LEN(SUBSTITUTE(SUBSTITUTE(SUBSTITUTE(SUBSTITUTE(SUBSTITUTE(SUBSTITUTE(SUBSTITUTE($A$15,"M",""),"D",""),"E",""),"L",""),"S",""),"R",""),"1","")))*1+(LEN(SUBSTITUTE(SUBSTITUTE(SUBSTITUTE(SUBSTITUTE(SUBSTITUTE(SUBSTITUTE($A$15,"M",""),"D",""),"E",""),"L",""),"S",""),"R",""))-LEN(SUBSTITUTE(SUBSTITUTE(SUBSTITUTE(SUBSTITUTE(SUBSTITUTE(SUBSTITUTE(SUBSTITUTE($A$15,"M",""),"D",""),"E",""),"L",""),"S",""),"R",""),"2","")))*2+(LEN(SUBSTITUTE(SUBSTITUTE(SUBSTITUTE(SUBSTITUTE(SUBSTITUTE(SUBSTITUTE($A$15,"M",""),"D",""),"E",""),"L",""),"S",""),"R",""))-LEN(SUBSTITUTE(SUBSTITUTE(SUBSTITUTE(SUBSTITUTE(SUBSTITUTE(SUBSTITUTE(SUBSTITUTE($A$15,"M",""),"D",""),"E",""),"L",""),"S",""),"R",""),"3","")))*3+(LEN(SUBSTITUTE(SUBSTITUTE(SUBSTITUTE(SUBSTITUTE(SUBSTITUTE(SUBSTITUTE($A$15,"M",""),"D",""),"E",""),"L",""),"S",""),"R",""))-LEN(SUBSTITUTE(SUBSTITUTE(SUBSTITUTE(SUBSTITUTE(SUBSTITUTE(SUBSTITUTE(SUBSTITUTE($A$15,"M",""),"D",""),"E",""),"L",""),"S",""),"R",""),"4","")))*4+(LEN(SUBSTITUTE(SUBSTITUTE(SUBSTITUTE(SUBSTITUTE(SUBSTITUTE(SUBSTITUTE($A$15,"M",""),"D",""),"E",""),"L",""),"S",""),"R",""))-LEN(SUBSTITUTE(SUBSTITUTE(SUBSTITUTE(SUBSTITUTE(SUBSTITUTE(SUBSTITUTE(SUBSTITUTE($A$15,"M",""),"D",""),"E",""),"L",""),"S",""),"R",""),"5","")))*5+(LEN(SUBSTITUTE(SUBSTITUTE(SUBSTITUTE(SUBSTITUTE(SUBSTITUTE(SUBSTITUTE($A$15,"M",""),"D",""),"E",""),"L",""),"S",""),"R",""))-LEN(SUBSTITUTE(SUBSTITUTE(SUBSTITUTE(SUBSTITUTE(SUBSTITUTE(SUBSTITUTE(SUBSTITUTE($A$15,"M",""),"D",""),"E",""),"L",""),"S",""),"R",""),"6","")))*6+(LEN(SUBSTITUTE(SUBSTITUTE(SUBSTITUTE(SUBSTITUTE(SUBSTITUTE(SUBSTITUTE($A$15,"M",""),"D",""),"E",""),"L",""),"S",""),"R",""))-LEN(SUBSTITUTE(SUBSTITUTE(SUBSTITUTE(SUBSTITUTE(SUBSTITUTE(SUBSTITUTE(SUBSTITUTE($A$15,"M",""),"D",""),"E",""),"L",""),"S",""),"R",""),"7","")))*7+(LEN(SUBSTITUTE(SUBSTITUTE(SUBSTITUTE(SUBSTITUTE(SUBSTITUTE(SUBSTITUTE($A$15,"M",""),"D",""),"E",""),"L",""),"S",""),"R",""))-LEN(SUBSTITUTE(SUBSTITUTE(SUBSTITUTE(SUBSTITUTE(SUBSTITUTE(SUBSTITUTE(SUBSTITUTE($A$15,"M",""),"D",""),"E",""),"L",""),"S",""),"R",""),"8","")))*8+(LEN(SUBSTITUTE(SUBSTITUTE(SUBSTITUTE(SUBSTITUTE(SUBSTITUTE(SUBSTITUTE($A$15,"M",""),"D",""),"E",""),"L",""),"S",""),"R",""))-LEN(SUBSTITUTE(SUBSTITUTE(SUBSTITUTE(SUBSTITUTE(SUBSTITUTE(SUBSTITUTE(SUBSTITUTE($A$15,"M",""),"D",""),"E",""),"L",""),"S",""),"R",""),"9","")))*9</f>
        <v>0</v>
      </c>
      <c r="F28" s="47" t="s">
        <v>47</v>
      </c>
      <c r="G28" s="61"/>
      <c r="H28" s="63">
        <f>E23</f>
        <v>0</v>
      </c>
      <c r="I28" s="170">
        <f>IFERROR(E28/H28,10)</f>
        <v>10</v>
      </c>
      <c r="J28" s="59"/>
      <c r="K28" s="65">
        <f>10-I28</f>
        <v>0</v>
      </c>
    </row>
    <row r="29" spans="1:12" ht="8.25" customHeight="1" x14ac:dyDescent="0.3">
      <c r="B29" s="21"/>
      <c r="C29" s="21"/>
      <c r="D29" s="21"/>
      <c r="E29" s="21"/>
      <c r="F29" s="21"/>
      <c r="G29" s="21"/>
      <c r="H29" s="58"/>
      <c r="I29" s="56"/>
      <c r="J29" s="59"/>
      <c r="K29" s="60"/>
    </row>
    <row r="30" spans="1:12" x14ac:dyDescent="0.3">
      <c r="I30" s="66"/>
      <c r="J30" s="67"/>
      <c r="K30" s="68"/>
    </row>
    <row r="31" spans="1:12" ht="15" customHeight="1" x14ac:dyDescent="0.3">
      <c r="E31" s="69" t="s">
        <v>37</v>
      </c>
      <c r="F31" s="12"/>
      <c r="G31" s="12"/>
      <c r="H31" s="12"/>
      <c r="I31" s="70"/>
      <c r="J31" s="71"/>
      <c r="K31" s="171">
        <f>SUM(E17:J17)</f>
        <v>0</v>
      </c>
    </row>
    <row r="32" spans="1:12" ht="7.5" customHeight="1" thickBot="1" x14ac:dyDescent="0.35">
      <c r="K32" s="68"/>
      <c r="L32" s="57"/>
    </row>
    <row r="33" spans="1:12" ht="20.25" customHeight="1" thickBot="1" x14ac:dyDescent="0.35">
      <c r="G33" s="72" t="s">
        <v>45</v>
      </c>
      <c r="H33" s="10"/>
      <c r="I33" s="10"/>
      <c r="J33" s="73"/>
      <c r="K33" s="74">
        <f>K28-K31</f>
        <v>0</v>
      </c>
      <c r="L33" s="75">
        <v>0.7</v>
      </c>
    </row>
    <row r="34" spans="1:12" ht="11.25" customHeight="1" thickBot="1" x14ac:dyDescent="0.35"/>
    <row r="35" spans="1:12" ht="20.25" customHeight="1" thickBot="1" x14ac:dyDescent="0.35">
      <c r="I35" s="49" t="s">
        <v>46</v>
      </c>
      <c r="J35" s="76"/>
      <c r="K35" s="76"/>
      <c r="L35" s="77">
        <f>ROUND(K24*0.3 + K33*0.7,3)</f>
        <v>0</v>
      </c>
    </row>
    <row r="42" spans="1:12" x14ac:dyDescent="0.3">
      <c r="A42" s="2" t="s">
        <v>18</v>
      </c>
      <c r="B42" s="40"/>
      <c r="C42" s="40"/>
      <c r="D42" s="40"/>
      <c r="E42" s="40"/>
      <c r="H42" s="2" t="s">
        <v>19</v>
      </c>
      <c r="I42" s="2"/>
      <c r="J42" s="2"/>
      <c r="K42" s="2"/>
      <c r="L42" s="2"/>
    </row>
  </sheetData>
  <mergeCells count="12">
    <mergeCell ref="A15:L16"/>
    <mergeCell ref="I12:L12"/>
    <mergeCell ref="C5:F5"/>
    <mergeCell ref="I7:L7"/>
    <mergeCell ref="C8:F8"/>
    <mergeCell ref="I8:L8"/>
    <mergeCell ref="C9:F9"/>
    <mergeCell ref="I9:L9"/>
    <mergeCell ref="C10:F10"/>
    <mergeCell ref="I10:L10"/>
    <mergeCell ref="I11:L11"/>
    <mergeCell ref="C6:F6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 xml:space="preserve">&amp;R2024-01-23
</oddFoot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28"/>
  <sheetViews>
    <sheetView showZeros="0" view="pageLayout" zoomScale="110" zoomScaleNormal="120" zoomScalePageLayoutView="110" workbookViewId="0">
      <selection activeCell="A2" sqref="A2"/>
    </sheetView>
  </sheetViews>
  <sheetFormatPr defaultColWidth="9.1328125" defaultRowHeight="12.4" x14ac:dyDescent="0.3"/>
  <cols>
    <col min="1" max="1" width="7.3320312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9" width="7.265625" style="1" customWidth="1"/>
    <col min="10" max="10" width="4.73046875" style="1" customWidth="1"/>
    <col min="11" max="11" width="10.265625" style="1" customWidth="1"/>
    <col min="12" max="12" width="10.73046875" style="1" customWidth="1"/>
    <col min="13" max="13" width="7.265625" style="1" customWidth="1"/>
    <col min="14" max="16384" width="9.1328125" style="1"/>
  </cols>
  <sheetData>
    <row r="1" spans="1:13" ht="6" customHeight="1" thickBot="1" x14ac:dyDescent="0.35"/>
    <row r="2" spans="1:13" ht="22.5" customHeight="1" thickBot="1" x14ac:dyDescent="0.4">
      <c r="A2" s="7" t="s">
        <v>82</v>
      </c>
      <c r="H2" s="9"/>
      <c r="I2" s="13" t="s">
        <v>62</v>
      </c>
      <c r="J2" s="10"/>
      <c r="K2" s="11"/>
      <c r="L2" s="11"/>
    </row>
    <row r="3" spans="1:13" ht="24" customHeight="1" thickBot="1" x14ac:dyDescent="0.35">
      <c r="A3" s="4" t="s">
        <v>40</v>
      </c>
      <c r="H3" s="9"/>
      <c r="I3" s="13" t="s">
        <v>63</v>
      </c>
      <c r="J3" s="10"/>
      <c r="K3" s="11"/>
      <c r="L3" s="11"/>
    </row>
    <row r="4" spans="1:13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3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3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3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3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3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3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3" ht="17.100000000000001" customHeight="1" x14ac:dyDescent="0.3">
      <c r="H11" s="12" t="s">
        <v>4</v>
      </c>
      <c r="I11" s="261"/>
      <c r="J11" s="262"/>
      <c r="K11" s="262"/>
      <c r="L11" s="263"/>
    </row>
    <row r="12" spans="1:13" ht="17.100000000000001" customHeight="1" x14ac:dyDescent="0.3">
      <c r="C12" s="14"/>
      <c r="H12" s="12" t="s">
        <v>5</v>
      </c>
      <c r="I12" s="261"/>
      <c r="J12" s="262"/>
      <c r="K12" s="262"/>
      <c r="L12" s="263"/>
    </row>
    <row r="13" spans="1:13" ht="8.75" customHeight="1" x14ac:dyDescent="0.3">
      <c r="C13" s="14"/>
      <c r="H13" s="3"/>
      <c r="I13" s="42"/>
      <c r="J13" s="3"/>
      <c r="K13" s="3"/>
      <c r="L13" s="3"/>
    </row>
    <row r="14" spans="1:13" ht="20.65" customHeight="1" thickBot="1" x14ac:dyDescent="0.35">
      <c r="C14" s="14"/>
      <c r="I14" s="66"/>
      <c r="K14" s="5" t="s">
        <v>57</v>
      </c>
    </row>
    <row r="15" spans="1:13" ht="66" customHeight="1" thickBot="1" x14ac:dyDescent="0.35">
      <c r="A15" s="172" t="s">
        <v>127</v>
      </c>
      <c r="B15" s="288" t="s">
        <v>128</v>
      </c>
      <c r="C15" s="289"/>
      <c r="D15" s="289"/>
      <c r="E15" s="289"/>
      <c r="F15" s="289"/>
      <c r="G15" s="289"/>
      <c r="H15" s="289"/>
      <c r="I15" s="290"/>
      <c r="J15" s="173" t="s">
        <v>129</v>
      </c>
      <c r="K15" s="174"/>
      <c r="L15" s="175">
        <f>K15*0.2</f>
        <v>0</v>
      </c>
    </row>
    <row r="16" spans="1:13" ht="66.400000000000006" customHeight="1" thickBot="1" x14ac:dyDescent="0.35">
      <c r="A16" s="291" t="s">
        <v>143</v>
      </c>
      <c r="B16" s="295" t="s">
        <v>141</v>
      </c>
      <c r="C16" s="296"/>
      <c r="D16" s="296"/>
      <c r="E16" s="296"/>
      <c r="F16" s="296"/>
      <c r="G16" s="296"/>
      <c r="H16" s="296"/>
      <c r="I16" s="296"/>
      <c r="J16" s="78" t="s">
        <v>145</v>
      </c>
      <c r="K16" s="130"/>
      <c r="L16" s="79">
        <f>K16*0.2</f>
        <v>0</v>
      </c>
      <c r="M16" s="80"/>
    </row>
    <row r="17" spans="1:13" ht="83.25" customHeight="1" thickBot="1" x14ac:dyDescent="0.35">
      <c r="A17" s="292"/>
      <c r="B17" s="295" t="s">
        <v>142</v>
      </c>
      <c r="C17" s="296"/>
      <c r="D17" s="296"/>
      <c r="E17" s="296"/>
      <c r="F17" s="296"/>
      <c r="G17" s="296"/>
      <c r="H17" s="296"/>
      <c r="I17" s="296"/>
      <c r="J17" s="81" t="s">
        <v>130</v>
      </c>
      <c r="K17" s="131"/>
      <c r="L17" s="82">
        <f>K17*0.1</f>
        <v>0</v>
      </c>
      <c r="M17" s="80"/>
    </row>
    <row r="18" spans="1:13" ht="58.9" customHeight="1" x14ac:dyDescent="0.3">
      <c r="A18" s="293" t="s">
        <v>144</v>
      </c>
      <c r="B18" s="297" t="s">
        <v>131</v>
      </c>
      <c r="C18" s="298"/>
      <c r="D18" s="298"/>
      <c r="E18" s="298"/>
      <c r="F18" s="298"/>
      <c r="G18" s="298"/>
      <c r="H18" s="298"/>
      <c r="I18" s="299"/>
      <c r="J18" s="78" t="s">
        <v>146</v>
      </c>
      <c r="K18" s="132"/>
      <c r="L18" s="83">
        <f>K18*0.25</f>
        <v>0</v>
      </c>
      <c r="M18" s="80"/>
    </row>
    <row r="19" spans="1:13" ht="72" customHeight="1" x14ac:dyDescent="0.3">
      <c r="A19" s="294"/>
      <c r="B19" s="300" t="s">
        <v>132</v>
      </c>
      <c r="C19" s="301"/>
      <c r="D19" s="301"/>
      <c r="E19" s="301"/>
      <c r="F19" s="301"/>
      <c r="G19" s="301"/>
      <c r="H19" s="301"/>
      <c r="I19" s="302"/>
      <c r="J19" s="84" t="s">
        <v>147</v>
      </c>
      <c r="K19" s="133"/>
      <c r="L19" s="85">
        <f>K19*0.25</f>
        <v>0</v>
      </c>
      <c r="M19" s="80"/>
    </row>
    <row r="20" spans="1:13" ht="18" customHeight="1" x14ac:dyDescent="0.3">
      <c r="K20" s="1" t="s">
        <v>17</v>
      </c>
      <c r="L20" s="86">
        <f>SUM(L16:L19)</f>
        <v>0</v>
      </c>
    </row>
    <row r="21" spans="1:13" ht="7.5" customHeight="1" x14ac:dyDescent="0.3">
      <c r="L21" s="68"/>
    </row>
    <row r="22" spans="1:13" ht="18" customHeight="1" x14ac:dyDescent="0.3">
      <c r="B22" s="47" t="s">
        <v>43</v>
      </c>
      <c r="C22" s="61"/>
      <c r="D22" s="48"/>
      <c r="E22" s="48"/>
      <c r="F22" s="48"/>
      <c r="G22" s="48"/>
      <c r="H22" s="48"/>
      <c r="I22" s="48"/>
      <c r="J22" s="48"/>
      <c r="K22" s="48"/>
      <c r="L22" s="134"/>
    </row>
    <row r="23" spans="1:13" ht="7.5" customHeight="1" thickBot="1" x14ac:dyDescent="0.35">
      <c r="L23" s="68"/>
    </row>
    <row r="24" spans="1:13" ht="21.75" customHeight="1" thickBot="1" x14ac:dyDescent="0.35">
      <c r="I24" s="49" t="s">
        <v>58</v>
      </c>
      <c r="J24" s="76"/>
      <c r="K24" s="76"/>
      <c r="L24" s="77">
        <f>SUM(L15:L19)-L22</f>
        <v>0</v>
      </c>
    </row>
    <row r="26" spans="1:13" ht="8.65" customHeight="1" x14ac:dyDescent="0.3"/>
    <row r="27" spans="1:13" x14ac:dyDescent="0.3">
      <c r="A27" s="2" t="s">
        <v>18</v>
      </c>
      <c r="B27" s="40"/>
      <c r="C27" s="40"/>
      <c r="D27" s="40"/>
      <c r="E27" s="40"/>
      <c r="H27" s="2" t="s">
        <v>19</v>
      </c>
      <c r="I27" s="2"/>
      <c r="J27" s="2"/>
      <c r="K27" s="2"/>
      <c r="L27" s="2"/>
    </row>
    <row r="28" spans="1:13" x14ac:dyDescent="0.3">
      <c r="B28" s="66"/>
      <c r="C28" s="66"/>
      <c r="D28" s="66"/>
      <c r="E28" s="66"/>
    </row>
  </sheetData>
  <mergeCells count="18">
    <mergeCell ref="A16:A17"/>
    <mergeCell ref="A18:A19"/>
    <mergeCell ref="B16:I16"/>
    <mergeCell ref="B17:I17"/>
    <mergeCell ref="B18:I18"/>
    <mergeCell ref="B19:I19"/>
    <mergeCell ref="B15:I15"/>
    <mergeCell ref="I12:L12"/>
    <mergeCell ref="C5:F5"/>
    <mergeCell ref="I7:L7"/>
    <mergeCell ref="C8:F8"/>
    <mergeCell ref="I8:L8"/>
    <mergeCell ref="C9:F9"/>
    <mergeCell ref="I9:L9"/>
    <mergeCell ref="C10:F10"/>
    <mergeCell ref="I10:L10"/>
    <mergeCell ref="I11:L11"/>
    <mergeCell ref="C6:F6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>&amp;R&amp;8 2025-03-16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013-7EE9-4BBB-985C-F7F686664514}">
  <sheetPr>
    <pageSetUpPr fitToPage="1"/>
  </sheetPr>
  <dimension ref="A1:M28"/>
  <sheetViews>
    <sheetView showZeros="0" tabSelected="1" view="pageLayout" zoomScale="110" zoomScaleNormal="120" zoomScalePageLayoutView="110" workbookViewId="0">
      <selection activeCell="K15" sqref="K15"/>
    </sheetView>
  </sheetViews>
  <sheetFormatPr defaultColWidth="9.1328125" defaultRowHeight="12.4" x14ac:dyDescent="0.3"/>
  <cols>
    <col min="1" max="1" width="7.33203125" style="1" customWidth="1"/>
    <col min="2" max="2" width="9.1328125" style="1"/>
    <col min="3" max="3" width="12.59765625" style="1" bestFit="1" customWidth="1"/>
    <col min="4" max="4" width="2.73046875" style="1" customWidth="1"/>
    <col min="5" max="7" width="7.265625" style="1" customWidth="1"/>
    <col min="8" max="8" width="7" style="1" customWidth="1"/>
    <col min="9" max="9" width="7.265625" style="1" customWidth="1"/>
    <col min="10" max="10" width="4.73046875" style="1" customWidth="1"/>
    <col min="11" max="11" width="10.265625" style="1" customWidth="1"/>
    <col min="12" max="12" width="10.73046875" style="1" customWidth="1"/>
    <col min="13" max="13" width="7.265625" style="1" customWidth="1"/>
    <col min="14" max="16384" width="9.1328125" style="1"/>
  </cols>
  <sheetData>
    <row r="1" spans="1:13" ht="6" customHeight="1" thickBot="1" x14ac:dyDescent="0.35"/>
    <row r="2" spans="1:13" ht="22.5" customHeight="1" thickBot="1" x14ac:dyDescent="0.4">
      <c r="A2" s="7" t="s">
        <v>148</v>
      </c>
      <c r="H2" s="9"/>
      <c r="I2" s="13" t="s">
        <v>62</v>
      </c>
      <c r="J2" s="10"/>
      <c r="K2" s="11"/>
      <c r="L2" s="11"/>
    </row>
    <row r="3" spans="1:13" ht="24" customHeight="1" thickBot="1" x14ac:dyDescent="0.35">
      <c r="A3" s="4" t="s">
        <v>40</v>
      </c>
      <c r="H3" s="9"/>
      <c r="I3" s="13" t="s">
        <v>63</v>
      </c>
      <c r="J3" s="10"/>
      <c r="K3" s="11"/>
      <c r="L3" s="11"/>
    </row>
    <row r="4" spans="1:13" ht="24" customHeight="1" thickBot="1" x14ac:dyDescent="0.35">
      <c r="A4" s="2" t="s">
        <v>11</v>
      </c>
      <c r="B4" s="2"/>
      <c r="C4" s="126"/>
      <c r="D4" s="8"/>
      <c r="E4" s="8"/>
      <c r="F4" s="8"/>
      <c r="H4" s="9"/>
      <c r="I4" s="13" t="s">
        <v>56</v>
      </c>
      <c r="J4" s="10"/>
      <c r="K4" s="11"/>
      <c r="L4" s="135"/>
    </row>
    <row r="5" spans="1:13" ht="24" customHeight="1" thickBot="1" x14ac:dyDescent="0.35">
      <c r="A5" s="12" t="s">
        <v>12</v>
      </c>
      <c r="B5" s="12"/>
      <c r="C5" s="261"/>
      <c r="D5" s="261"/>
      <c r="E5" s="261"/>
      <c r="F5" s="261"/>
      <c r="H5" s="9"/>
      <c r="I5" s="13" t="s">
        <v>10</v>
      </c>
      <c r="J5" s="106"/>
      <c r="K5" s="11"/>
      <c r="L5" s="11"/>
    </row>
    <row r="6" spans="1:13" ht="19.5" customHeight="1" x14ac:dyDescent="0.3">
      <c r="A6" s="12" t="s">
        <v>13</v>
      </c>
      <c r="B6" s="12"/>
      <c r="C6" s="261"/>
      <c r="D6" s="261"/>
      <c r="E6" s="261"/>
      <c r="F6" s="261"/>
      <c r="H6" s="1" t="s">
        <v>15</v>
      </c>
    </row>
    <row r="7" spans="1:13" ht="17.100000000000001" customHeight="1" x14ac:dyDescent="0.3">
      <c r="A7" s="12" t="s">
        <v>61</v>
      </c>
      <c r="B7" s="12"/>
      <c r="C7" s="70"/>
      <c r="D7" s="70"/>
      <c r="E7" s="70"/>
      <c r="F7" s="70"/>
      <c r="H7" s="2" t="s">
        <v>0</v>
      </c>
      <c r="I7" s="266"/>
      <c r="J7" s="267"/>
      <c r="K7" s="267"/>
      <c r="L7" s="268"/>
    </row>
    <row r="8" spans="1:13" ht="17.100000000000001" customHeight="1" x14ac:dyDescent="0.3">
      <c r="A8" s="2" t="s">
        <v>6</v>
      </c>
      <c r="B8" s="2"/>
      <c r="C8" s="266"/>
      <c r="D8" s="266"/>
      <c r="E8" s="266"/>
      <c r="F8" s="266"/>
      <c r="H8" s="12" t="s">
        <v>1</v>
      </c>
      <c r="I8" s="261"/>
      <c r="J8" s="262"/>
      <c r="K8" s="262"/>
      <c r="L8" s="263"/>
    </row>
    <row r="9" spans="1:13" ht="17.100000000000001" customHeight="1" x14ac:dyDescent="0.3">
      <c r="A9" s="12" t="s">
        <v>14</v>
      </c>
      <c r="B9" s="12"/>
      <c r="C9" s="261"/>
      <c r="D9" s="261"/>
      <c r="E9" s="261"/>
      <c r="F9" s="261"/>
      <c r="H9" s="12" t="s">
        <v>2</v>
      </c>
      <c r="I9" s="261"/>
      <c r="J9" s="262"/>
      <c r="K9" s="262"/>
      <c r="L9" s="263"/>
    </row>
    <row r="10" spans="1:13" ht="17.100000000000001" customHeight="1" x14ac:dyDescent="0.3">
      <c r="A10" s="12" t="s">
        <v>59</v>
      </c>
      <c r="B10" s="12"/>
      <c r="C10" s="261"/>
      <c r="D10" s="261"/>
      <c r="E10" s="261"/>
      <c r="F10" s="261"/>
      <c r="H10" s="12" t="s">
        <v>3</v>
      </c>
      <c r="I10" s="261"/>
      <c r="J10" s="262"/>
      <c r="K10" s="262"/>
      <c r="L10" s="263"/>
    </row>
    <row r="11" spans="1:13" ht="17.100000000000001" customHeight="1" x14ac:dyDescent="0.3">
      <c r="H11" s="12" t="s">
        <v>4</v>
      </c>
      <c r="I11" s="261"/>
      <c r="J11" s="262"/>
      <c r="K11" s="262"/>
      <c r="L11" s="263"/>
    </row>
    <row r="12" spans="1:13" ht="17.100000000000001" customHeight="1" x14ac:dyDescent="0.3">
      <c r="C12" s="14"/>
      <c r="H12" s="12" t="s">
        <v>5</v>
      </c>
      <c r="I12" s="261"/>
      <c r="J12" s="262"/>
      <c r="K12" s="262"/>
      <c r="L12" s="263"/>
    </row>
    <row r="13" spans="1:13" ht="8.75" customHeight="1" x14ac:dyDescent="0.3">
      <c r="C13" s="14"/>
      <c r="H13" s="3"/>
      <c r="I13" s="42"/>
      <c r="J13" s="3"/>
      <c r="K13" s="3"/>
      <c r="L13" s="3"/>
    </row>
    <row r="14" spans="1:13" ht="20.65" customHeight="1" thickBot="1" x14ac:dyDescent="0.35">
      <c r="C14" s="14"/>
      <c r="I14" s="66"/>
      <c r="K14" s="5" t="s">
        <v>57</v>
      </c>
    </row>
    <row r="15" spans="1:13" ht="66" customHeight="1" thickBot="1" x14ac:dyDescent="0.35">
      <c r="A15" s="172" t="s">
        <v>127</v>
      </c>
      <c r="B15" s="288" t="s">
        <v>128</v>
      </c>
      <c r="C15" s="289"/>
      <c r="D15" s="289"/>
      <c r="E15" s="289"/>
      <c r="F15" s="289"/>
      <c r="G15" s="289"/>
      <c r="H15" s="289"/>
      <c r="I15" s="290"/>
      <c r="J15" s="173" t="s">
        <v>129</v>
      </c>
      <c r="K15" s="174"/>
      <c r="L15" s="175">
        <f>K15*0.2</f>
        <v>0</v>
      </c>
    </row>
    <row r="16" spans="1:13" ht="66.400000000000006" customHeight="1" thickBot="1" x14ac:dyDescent="0.35">
      <c r="A16" s="291" t="s">
        <v>143</v>
      </c>
      <c r="B16" s="295" t="s">
        <v>141</v>
      </c>
      <c r="C16" s="296"/>
      <c r="D16" s="296"/>
      <c r="E16" s="296"/>
      <c r="F16" s="296"/>
      <c r="G16" s="296"/>
      <c r="H16" s="296"/>
      <c r="I16" s="296"/>
      <c r="J16" s="78" t="s">
        <v>138</v>
      </c>
      <c r="K16" s="130"/>
      <c r="L16" s="79">
        <f>K16*0.1</f>
        <v>0</v>
      </c>
      <c r="M16" s="80"/>
    </row>
    <row r="17" spans="1:13" ht="83.25" customHeight="1" thickBot="1" x14ac:dyDescent="0.35">
      <c r="A17" s="292"/>
      <c r="B17" s="295" t="s">
        <v>142</v>
      </c>
      <c r="C17" s="296"/>
      <c r="D17" s="296"/>
      <c r="E17" s="296"/>
      <c r="F17" s="296"/>
      <c r="G17" s="296"/>
      <c r="H17" s="296"/>
      <c r="I17" s="296"/>
      <c r="J17" s="81" t="s">
        <v>130</v>
      </c>
      <c r="K17" s="131"/>
      <c r="L17" s="82">
        <f>K17*0.1</f>
        <v>0</v>
      </c>
      <c r="M17" s="80"/>
    </row>
    <row r="18" spans="1:13" ht="58.9" customHeight="1" x14ac:dyDescent="0.3">
      <c r="A18" s="293" t="s">
        <v>144</v>
      </c>
      <c r="B18" s="297" t="s">
        <v>131</v>
      </c>
      <c r="C18" s="298"/>
      <c r="D18" s="298"/>
      <c r="E18" s="298"/>
      <c r="F18" s="298"/>
      <c r="G18" s="298"/>
      <c r="H18" s="298"/>
      <c r="I18" s="299"/>
      <c r="J18" s="78" t="s">
        <v>139</v>
      </c>
      <c r="K18" s="132"/>
      <c r="L18" s="83">
        <f>K18*0.3</f>
        <v>0</v>
      </c>
      <c r="M18" s="80"/>
    </row>
    <row r="19" spans="1:13" ht="72" customHeight="1" x14ac:dyDescent="0.3">
      <c r="A19" s="294"/>
      <c r="B19" s="300" t="s">
        <v>132</v>
      </c>
      <c r="C19" s="301"/>
      <c r="D19" s="301"/>
      <c r="E19" s="301"/>
      <c r="F19" s="301"/>
      <c r="G19" s="301"/>
      <c r="H19" s="301"/>
      <c r="I19" s="302"/>
      <c r="J19" s="84" t="s">
        <v>140</v>
      </c>
      <c r="K19" s="133"/>
      <c r="L19" s="85">
        <f>K19*0.3</f>
        <v>0</v>
      </c>
      <c r="M19" s="80"/>
    </row>
    <row r="20" spans="1:13" ht="18" customHeight="1" x14ac:dyDescent="0.3">
      <c r="K20" s="1" t="s">
        <v>17</v>
      </c>
      <c r="L20" s="86">
        <f>SUM(L16:L19)</f>
        <v>0</v>
      </c>
    </row>
    <row r="21" spans="1:13" ht="7.5" customHeight="1" x14ac:dyDescent="0.3">
      <c r="L21" s="68"/>
    </row>
    <row r="22" spans="1:13" ht="18" customHeight="1" x14ac:dyDescent="0.3">
      <c r="B22" s="47" t="s">
        <v>43</v>
      </c>
      <c r="C22" s="61"/>
      <c r="D22" s="48"/>
      <c r="E22" s="48"/>
      <c r="F22" s="48"/>
      <c r="G22" s="48"/>
      <c r="H22" s="48"/>
      <c r="I22" s="48"/>
      <c r="J22" s="48"/>
      <c r="K22" s="48"/>
      <c r="L22" s="134"/>
    </row>
    <row r="23" spans="1:13" ht="7.5" customHeight="1" thickBot="1" x14ac:dyDescent="0.35">
      <c r="L23" s="68"/>
    </row>
    <row r="24" spans="1:13" ht="21.75" customHeight="1" thickBot="1" x14ac:dyDescent="0.35">
      <c r="I24" s="49" t="s">
        <v>58</v>
      </c>
      <c r="J24" s="76"/>
      <c r="K24" s="76"/>
      <c r="L24" s="77">
        <f>SUM(L15:L19)-L22</f>
        <v>0</v>
      </c>
    </row>
    <row r="26" spans="1:13" ht="8.65" customHeight="1" x14ac:dyDescent="0.3"/>
    <row r="27" spans="1:13" x14ac:dyDescent="0.3">
      <c r="A27" s="2" t="s">
        <v>18</v>
      </c>
      <c r="B27" s="40"/>
      <c r="C27" s="40"/>
      <c r="D27" s="40"/>
      <c r="E27" s="40"/>
      <c r="H27" s="2" t="s">
        <v>19</v>
      </c>
      <c r="I27" s="2"/>
      <c r="J27" s="2"/>
      <c r="K27" s="2"/>
      <c r="L27" s="2"/>
    </row>
    <row r="28" spans="1:13" x14ac:dyDescent="0.3">
      <c r="B28" s="66"/>
      <c r="C28" s="66"/>
      <c r="D28" s="66"/>
      <c r="E28" s="66"/>
    </row>
  </sheetData>
  <mergeCells count="18">
    <mergeCell ref="A18:A19"/>
    <mergeCell ref="B18:I18"/>
    <mergeCell ref="B19:I19"/>
    <mergeCell ref="C10:F10"/>
    <mergeCell ref="I10:L10"/>
    <mergeCell ref="I11:L11"/>
    <mergeCell ref="I12:L12"/>
    <mergeCell ref="B15:I15"/>
    <mergeCell ref="A16:A17"/>
    <mergeCell ref="B16:I16"/>
    <mergeCell ref="B17:I17"/>
    <mergeCell ref="C5:F5"/>
    <mergeCell ref="C6:F6"/>
    <mergeCell ref="I7:L7"/>
    <mergeCell ref="C8:F8"/>
    <mergeCell ref="I8:L8"/>
    <mergeCell ref="C9:F9"/>
    <mergeCell ref="I9:L9"/>
  </mergeCells>
  <pageMargins left="0.78740157480314965" right="0.15748031496062992" top="0.98425196850393704" bottom="0.39370078740157483" header="0.43307086614173229" footer="0.19685039370078741"/>
  <pageSetup paperSize="9" orientation="portrait" r:id="rId1"/>
  <headerFooter alignWithMargins="0">
    <oddHeader>&amp;L&amp;G
&amp;C&amp;"Verdana,Normal"&amp;12PROTOKOLL FÖR LAGTÄVLAN</oddHeader>
    <oddFooter>&amp;R&amp;8 2025-03-16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0C130F412EDB4EBF3E80DF6A9149FD" ma:contentTypeVersion="1" ma:contentTypeDescription="Create a new document." ma:contentTypeScope="" ma:versionID="cfaa3b10b9be17ef9f56bd19dc71004c">
  <xsd:schema xmlns:xsd="http://www.w3.org/2001/XMLSchema" xmlns:p="http://schemas.microsoft.com/office/2006/metadata/properties" xmlns:ns1="http://schemas.microsoft.com/sharepoint/v3" targetNamespace="http://schemas.microsoft.com/office/2006/metadata/properties" ma:root="true" ma:fieldsID="ddb0c952b897a810c8a4e377cff6bff8" ns1:_="">
    <xsd:import namespace="http://schemas.microsoft.com/sharepoint/v3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PublishingStartDate" ma:index="8" nillable="true" ma:displayName="Scheduling Start Date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" ma:hidden="true" ma:internalName="PublishingExpirationDat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A00BD0D-8423-4FFE-92A4-D273D20783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28A807C1-6DB8-4C6A-8DCB-8B5F61EFE2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838F1D-7ECA-4F32-944F-43492487C498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sharepoint/v3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10</vt:i4>
      </vt:variant>
      <vt:variant>
        <vt:lpstr>Namngivna områden</vt:lpstr>
      </vt:variant>
      <vt:variant>
        <vt:i4>74</vt:i4>
      </vt:variant>
    </vt:vector>
  </HeadingPairs>
  <TitlesOfParts>
    <vt:vector size="84" baseType="lpstr">
      <vt:lpstr>Information</vt:lpstr>
      <vt:lpstr>Häst, lag</vt:lpstr>
      <vt:lpstr>Lag grund A</vt:lpstr>
      <vt:lpstr>Lag grund D</vt:lpstr>
      <vt:lpstr>Lag grund B</vt:lpstr>
      <vt:lpstr>Lag kür tekn mellan</vt:lpstr>
      <vt:lpstr>Lag kür tekn junior</vt:lpstr>
      <vt:lpstr>Lag kür tekn sr</vt:lpstr>
      <vt:lpstr>Lag kür art</vt:lpstr>
      <vt:lpstr>Lag kür art senior</vt:lpstr>
      <vt:lpstr>'Häst, lag'!bord</vt:lpstr>
      <vt:lpstr>'Lag grund A'!bord</vt:lpstr>
      <vt:lpstr>'Lag grund B'!bord</vt:lpstr>
      <vt:lpstr>'Lag grund D'!bord</vt:lpstr>
      <vt:lpstr>'Lag kür art'!bord</vt:lpstr>
      <vt:lpstr>'Lag kür art senior'!bord</vt:lpstr>
      <vt:lpstr>'Lag kür tekn junior'!bord</vt:lpstr>
      <vt:lpstr>'Lag kür tekn mellan'!bord</vt:lpstr>
      <vt:lpstr>'Lag kür tekn sr'!bord</vt:lpstr>
      <vt:lpstr>'Häst, lag'!datum</vt:lpstr>
      <vt:lpstr>'Lag grund A'!datum</vt:lpstr>
      <vt:lpstr>'Lag grund B'!datum</vt:lpstr>
      <vt:lpstr>'Lag grund D'!datum</vt:lpstr>
      <vt:lpstr>'Lag kür art'!datum</vt:lpstr>
      <vt:lpstr>'Lag kür art senior'!datum</vt:lpstr>
      <vt:lpstr>'Lag kür tekn junior'!datum</vt:lpstr>
      <vt:lpstr>'Lag kür tekn mellan'!datum</vt:lpstr>
      <vt:lpstr>'Lag kür tekn sr'!datum</vt:lpstr>
      <vt:lpstr>'Häst, lag'!domare</vt:lpstr>
      <vt:lpstr>'Lag grund A'!domare</vt:lpstr>
      <vt:lpstr>'Lag grund B'!domare</vt:lpstr>
      <vt:lpstr>'Lag grund D'!domare</vt:lpstr>
      <vt:lpstr>'Lag kür art'!domare</vt:lpstr>
      <vt:lpstr>'Lag kür art senior'!domare</vt:lpstr>
      <vt:lpstr>'Lag kür tekn junior'!domare</vt:lpstr>
      <vt:lpstr>'Lag kür tekn mellan'!domare</vt:lpstr>
      <vt:lpstr>'Lag kür tekn sr'!domare</vt:lpstr>
      <vt:lpstr>'Häst, lag'!firstvaulter</vt:lpstr>
      <vt:lpstr>'Lag grund A'!firstvaulter</vt:lpstr>
      <vt:lpstr>'Lag grund B'!firstvaulter</vt:lpstr>
      <vt:lpstr>'Lag grund D'!firstvaulter</vt:lpstr>
      <vt:lpstr>'Lag kür art'!firstvaulter</vt:lpstr>
      <vt:lpstr>'Lag kür art senior'!firstvaulter</vt:lpstr>
      <vt:lpstr>'Lag kür tekn junior'!firstvaulter</vt:lpstr>
      <vt:lpstr>'Lag kür tekn mellan'!firstvaulter</vt:lpstr>
      <vt:lpstr>'Lag kür tekn sr'!firstvaulter</vt:lpstr>
      <vt:lpstr>'Häst, lag'!header</vt:lpstr>
      <vt:lpstr>'Häst, lag'!id</vt:lpstr>
      <vt:lpstr>'Lag grund A'!id</vt:lpstr>
      <vt:lpstr>'Lag grund B'!id</vt:lpstr>
      <vt:lpstr>'Lag grund D'!id</vt:lpstr>
      <vt:lpstr>'Lag kür art'!id</vt:lpstr>
      <vt:lpstr>'Lag kür art senior'!id</vt:lpstr>
      <vt:lpstr>'Lag kür tekn junior'!id</vt:lpstr>
      <vt:lpstr>'Lag kür tekn mellan'!id</vt:lpstr>
      <vt:lpstr>'Lag kür tekn sr'!id</vt:lpstr>
      <vt:lpstr>'Häst, lag'!klass</vt:lpstr>
      <vt:lpstr>'Lag grund A'!klass</vt:lpstr>
      <vt:lpstr>'Lag grund B'!klass</vt:lpstr>
      <vt:lpstr>'Lag grund D'!klass</vt:lpstr>
      <vt:lpstr>'Lag kür art'!klass</vt:lpstr>
      <vt:lpstr>'Lag kür art senior'!klass</vt:lpstr>
      <vt:lpstr>'Lag kür tekn junior'!klass</vt:lpstr>
      <vt:lpstr>'Lag kür tekn mellan'!klass</vt:lpstr>
      <vt:lpstr>'Lag kür tekn sr'!klass</vt:lpstr>
      <vt:lpstr>'Häst, lag'!moment</vt:lpstr>
      <vt:lpstr>'Lag grund A'!moment</vt:lpstr>
      <vt:lpstr>'Lag grund B'!moment</vt:lpstr>
      <vt:lpstr>'Lag grund D'!moment</vt:lpstr>
      <vt:lpstr>'Lag kür art'!moment</vt:lpstr>
      <vt:lpstr>'Lag kür art senior'!moment</vt:lpstr>
      <vt:lpstr>'Lag kür tekn junior'!moment</vt:lpstr>
      <vt:lpstr>'Lag kür tekn mellan'!moment</vt:lpstr>
      <vt:lpstr>'Lag kür tekn sr'!moment</vt:lpstr>
      <vt:lpstr>'Häst, lag'!result</vt:lpstr>
      <vt:lpstr>'Lag grund A'!result</vt:lpstr>
      <vt:lpstr>'Lag grund B'!result</vt:lpstr>
      <vt:lpstr>'Lag grund D'!result</vt:lpstr>
      <vt:lpstr>'Lag kür art'!result</vt:lpstr>
      <vt:lpstr>'Lag kür art senior'!result</vt:lpstr>
      <vt:lpstr>'Lag kür tekn junior'!result</vt:lpstr>
      <vt:lpstr>'Lag kür tekn mellan'!result</vt:lpstr>
      <vt:lpstr>'Lag kür tekn sr'!result</vt:lpstr>
      <vt:lpstr>'Häst, lag'!Utskriftsområde</vt:lpstr>
    </vt:vector>
  </TitlesOfParts>
  <Company>BEZ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Zdenka Mišurcová</dc:creator>
  <cp:lastModifiedBy>Magnus Sandberg</cp:lastModifiedBy>
  <cp:lastPrinted>2024-03-23T15:08:38Z</cp:lastPrinted>
  <dcterms:created xsi:type="dcterms:W3CDTF">2005-01-07T14:31:35Z</dcterms:created>
  <dcterms:modified xsi:type="dcterms:W3CDTF">2025-03-19T21:08:09Z</dcterms:modified>
</cp:coreProperties>
</file>