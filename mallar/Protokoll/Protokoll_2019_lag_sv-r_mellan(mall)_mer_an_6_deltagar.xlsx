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voltexc\mallar\Protokoll\"/>
    </mc:Choice>
  </mc:AlternateContent>
  <xr:revisionPtr revIDLastSave="0" documentId="13_ncr:1_{081C53EE-22A0-46D8-929E-A5D70279844F}" xr6:coauthVersionLast="47" xr6:coauthVersionMax="47" xr10:uidLastSave="{00000000-0000-0000-0000-000000000000}"/>
  <bookViews>
    <workbookView xWindow="54495" yWindow="0" windowWidth="26010" windowHeight="20985" firstSheet="2" activeTab="2" xr2:uid="{00000000-000D-0000-FFFF-FFFF00000000}"/>
  </bookViews>
  <sheets>
    <sheet name="Information" sheetId="27" r:id="rId1"/>
    <sheet name="Häst_old, lag" sheetId="24" r:id="rId2"/>
    <sheet name="Lag grund A" sheetId="22" r:id="rId3"/>
    <sheet name="Lag grund B" sheetId="18" r:id="rId4"/>
    <sheet name="Lag grund D" sheetId="17" r:id="rId5"/>
    <sheet name="Lag kür tekn mellan" sheetId="29" r:id="rId6"/>
    <sheet name="Lag kür tekn junior" sheetId="6" r:id="rId7"/>
    <sheet name="Lag kür tekn sr" sheetId="20" r:id="rId8"/>
    <sheet name="Lag kür art" sheetId="21" r:id="rId9"/>
    <sheet name="Lag kür art senior" sheetId="30" r:id="rId10"/>
  </sheets>
  <definedNames>
    <definedName name="bord" localSheetId="1">'Häst_old, lag'!$K$3</definedName>
    <definedName name="bord" localSheetId="2">'Lag grund A'!$V$3</definedName>
    <definedName name="bord" localSheetId="3">'Lag grund B'!$T$3</definedName>
    <definedName name="bord" localSheetId="4">'Lag grund D'!$U$3</definedName>
    <definedName name="bord" localSheetId="8">'Lag kür art'!$L$3</definedName>
    <definedName name="bord" localSheetId="9">'Lag kür art senior'!$L$3</definedName>
    <definedName name="bord" localSheetId="6">'Lag kür tekn junior'!$L$3</definedName>
    <definedName name="bord" localSheetId="5">'Lag kür tekn mellan'!$L$3</definedName>
    <definedName name="bord" localSheetId="7">'Lag kür tekn sr'!$L$3</definedName>
    <definedName name="datum" localSheetId="1">'Häst_old, lag'!$C$4</definedName>
    <definedName name="datum" localSheetId="2">'Lag grund A'!$C$4</definedName>
    <definedName name="datum" localSheetId="3">'Lag grund B'!$C$4</definedName>
    <definedName name="datum" localSheetId="4">'Lag grund D'!$C$4</definedName>
    <definedName name="datum" localSheetId="8">'Lag kür art'!$C$4</definedName>
    <definedName name="datum" localSheetId="9">'Lag kür art senior'!$C$4</definedName>
    <definedName name="datum" localSheetId="6">'Lag kür tekn junior'!$C$4</definedName>
    <definedName name="datum" localSheetId="5">'Lag kür tekn mellan'!$C$4</definedName>
    <definedName name="datum" localSheetId="7">'Lag kür tekn sr'!$C$4</definedName>
    <definedName name="domare" localSheetId="1">'Häst_old, lag'!$C$31</definedName>
    <definedName name="domare" localSheetId="2">'Lag grund A'!$C$32</definedName>
    <definedName name="domare" localSheetId="3">'Lag grund B'!$C$32</definedName>
    <definedName name="domare" localSheetId="4">'Lag grund D'!$C$33</definedName>
    <definedName name="domare" localSheetId="8">'Lag kür art'!$C$29</definedName>
    <definedName name="domare" localSheetId="9">'Lag kür art senior'!$C$29</definedName>
    <definedName name="domare" localSheetId="6">'Lag kür tekn junior'!$C$45</definedName>
    <definedName name="domare" localSheetId="5">'Lag kür tekn mellan'!$C$45</definedName>
    <definedName name="domare" localSheetId="7">'Lag kür tekn sr'!$C$45</definedName>
    <definedName name="firstvaulter" localSheetId="1">'Häst_old, lag'!$H$7</definedName>
    <definedName name="firstvaulter" localSheetId="2">'Lag grund A'!$L$3</definedName>
    <definedName name="firstvaulter" localSheetId="3">'Lag grund B'!$L$3</definedName>
    <definedName name="firstvaulter" localSheetId="4">'Lag grund D'!$L$3</definedName>
    <definedName name="firstvaulter" localSheetId="8">'Lag kür art'!$I$7</definedName>
    <definedName name="firstvaulter" localSheetId="9">'Lag kür art senior'!$I$7</definedName>
    <definedName name="firstvaulter" localSheetId="6">'Lag kür tekn junior'!$I$7</definedName>
    <definedName name="firstvaulter" localSheetId="5">'Lag kür tekn mellan'!$I$7</definedName>
    <definedName name="firstvaulter" localSheetId="7">'Lag kür tekn sr'!$I$7</definedName>
    <definedName name="id" localSheetId="1">'Häst_old, lag'!$U$1</definedName>
    <definedName name="id" localSheetId="2">'Lag grund A'!$U$1</definedName>
    <definedName name="id" localSheetId="3">'Lag grund B'!$U$1</definedName>
    <definedName name="id" localSheetId="4">'Lag grund D'!$U$1</definedName>
    <definedName name="id" localSheetId="8">'Lag kür art'!$U$1</definedName>
    <definedName name="id" localSheetId="9">'Lag kür art senior'!$U$1</definedName>
    <definedName name="id" localSheetId="6">'Lag kür tekn junior'!$U$1</definedName>
    <definedName name="id" localSheetId="5">'Lag kür tekn mellan'!$U$1</definedName>
    <definedName name="id" localSheetId="7">'Lag kür tekn sr'!$U$1</definedName>
    <definedName name="klass" localSheetId="1">'Häst_old, lag'!$K$4</definedName>
    <definedName name="klass" localSheetId="2">'Lag grund A'!$V$4</definedName>
    <definedName name="klass" localSheetId="3">'Lag grund B'!$T$4</definedName>
    <definedName name="klass" localSheetId="4">'Lag grund D'!$U$4</definedName>
    <definedName name="klass" localSheetId="8">'Lag kür art'!$L$4</definedName>
    <definedName name="klass" localSheetId="9">'Lag kür art senior'!$L$4</definedName>
    <definedName name="klass" localSheetId="6">'Lag kür tekn junior'!$L$4</definedName>
    <definedName name="klass" localSheetId="5">'Lag kür tekn mellan'!$L$4</definedName>
    <definedName name="klass" localSheetId="7">'Lag kür tekn sr'!$L$4</definedName>
    <definedName name="moment" localSheetId="1">'Häst_old, lag'!$K$5</definedName>
    <definedName name="moment" localSheetId="2">'Lag grund A'!$V$5</definedName>
    <definedName name="moment" localSheetId="3">'Lag grund B'!$T$5</definedName>
    <definedName name="moment" localSheetId="4">'Lag grund D'!$U$5</definedName>
    <definedName name="moment" localSheetId="8">'Lag kür art'!$L$5</definedName>
    <definedName name="moment" localSheetId="9">'Lag kür art senior'!$L$5</definedName>
    <definedName name="moment" localSheetId="6">'Lag kür tekn junior'!$L$5</definedName>
    <definedName name="moment" localSheetId="5">'Lag kür tekn mellan'!$L$5</definedName>
    <definedName name="moment" localSheetId="7">'Lag kür tekn sr'!$L$5</definedName>
    <definedName name="result" localSheetId="1">'Häst_old, lag'!$J$27</definedName>
    <definedName name="result" localSheetId="2">'Lag grund A'!$O$28</definedName>
    <definedName name="result" localSheetId="3">'Lag grund B'!$O$29</definedName>
    <definedName name="result" localSheetId="4">'Lag grund D'!$O$29</definedName>
    <definedName name="result" localSheetId="8">'Lag kür art'!$L$26</definedName>
    <definedName name="result" localSheetId="9">'Lag kür art senior'!$L$26</definedName>
    <definedName name="result" localSheetId="6">'Lag kür tekn junior'!$L$37</definedName>
    <definedName name="result" localSheetId="5">'Lag kür tekn mellan'!$L$37</definedName>
    <definedName name="result" localSheetId="7">'Lag kür tekn sr'!$L$38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8" i="22" l="1"/>
  <c r="L19" i="21"/>
  <c r="L21" i="21"/>
  <c r="L20" i="21"/>
  <c r="L18" i="21"/>
  <c r="L17" i="21"/>
  <c r="L26" i="30"/>
  <c r="L21" i="30"/>
  <c r="L20" i="30"/>
  <c r="L19" i="30"/>
  <c r="L18" i="30"/>
  <c r="L22" i="30" s="1"/>
  <c r="L17" i="30"/>
  <c r="K34" i="20"/>
  <c r="K33" i="6"/>
  <c r="E31" i="20"/>
  <c r="E25" i="20"/>
  <c r="E24" i="20"/>
  <c r="E23" i="20"/>
  <c r="E26" i="20" s="1"/>
  <c r="E30" i="6"/>
  <c r="E25" i="6"/>
  <c r="E24" i="6"/>
  <c r="E23" i="6"/>
  <c r="L26" i="21" l="1"/>
  <c r="O17" i="17"/>
  <c r="O18" i="17"/>
  <c r="O19" i="17"/>
  <c r="O20" i="17"/>
  <c r="O21" i="17"/>
  <c r="O22" i="17"/>
  <c r="O16" i="17"/>
  <c r="J3" i="17"/>
  <c r="J11" i="17"/>
  <c r="J10" i="17"/>
  <c r="J9" i="17"/>
  <c r="J8" i="17"/>
  <c r="J7" i="17"/>
  <c r="J6" i="17"/>
  <c r="J5" i="17"/>
  <c r="J4" i="17"/>
  <c r="O16" i="22"/>
  <c r="O17" i="22"/>
  <c r="O18" i="22"/>
  <c r="O19" i="22"/>
  <c r="O20" i="22"/>
  <c r="O21" i="22"/>
  <c r="O15" i="22"/>
  <c r="J11" i="22"/>
  <c r="J10" i="22"/>
  <c r="J9" i="22"/>
  <c r="J8" i="22"/>
  <c r="J7" i="22"/>
  <c r="J6" i="22"/>
  <c r="J5" i="22"/>
  <c r="J4" i="22"/>
  <c r="J3" i="22"/>
  <c r="J7" i="18"/>
  <c r="J8" i="18"/>
  <c r="J9" i="18" s="1"/>
  <c r="J10" i="18"/>
  <c r="J11" i="18"/>
  <c r="J3" i="18"/>
  <c r="J4" i="18" s="1"/>
  <c r="J5" i="18" s="1"/>
  <c r="J6" i="18" s="1"/>
  <c r="O16" i="18"/>
  <c r="O17" i="18"/>
  <c r="O18" i="18"/>
  <c r="O19" i="18"/>
  <c r="O20" i="18"/>
  <c r="O21" i="18"/>
  <c r="O22" i="18"/>
  <c r="O15" i="18"/>
  <c r="O22" i="22" l="1"/>
  <c r="O23" i="17"/>
  <c r="O23" i="18"/>
  <c r="O24" i="18"/>
  <c r="O25" i="18" l="1"/>
  <c r="H23" i="20" l="1"/>
  <c r="H24" i="20" s="1"/>
  <c r="H25" i="20" l="1"/>
  <c r="E26" i="29"/>
  <c r="H30" i="29" s="1"/>
  <c r="I30" i="29" s="1"/>
  <c r="K30" i="29" s="1"/>
  <c r="K35" i="29" s="1"/>
  <c r="K25" i="29"/>
  <c r="K24" i="29"/>
  <c r="K23" i="29"/>
  <c r="K27" i="29" s="1"/>
  <c r="L37" i="29" l="1"/>
  <c r="K25" i="24"/>
  <c r="K21" i="24"/>
  <c r="K15" i="24"/>
  <c r="K18" i="24"/>
  <c r="J27" i="24" s="1"/>
  <c r="K24" i="24"/>
  <c r="H31" i="20"/>
  <c r="I31" i="20" s="1"/>
  <c r="K31" i="20" s="1"/>
  <c r="K36" i="20" s="1"/>
  <c r="K25" i="20"/>
  <c r="K24" i="20"/>
  <c r="K23" i="20"/>
  <c r="K24" i="6"/>
  <c r="K25" i="6"/>
  <c r="K23" i="6"/>
  <c r="E26" i="6"/>
  <c r="H30" i="6" s="1"/>
  <c r="I30" i="6" s="1"/>
  <c r="K30" i="6" s="1"/>
  <c r="K35" i="6" s="1"/>
  <c r="L37" i="6" s="1"/>
  <c r="K27" i="6"/>
  <c r="K27" i="20" l="1"/>
  <c r="L38" i="20" s="1"/>
  <c r="O23" i="22"/>
  <c r="O24" i="17"/>
  <c r="O29" i="18"/>
  <c r="L22" i="21"/>
  <c r="O25" i="17" l="1"/>
  <c r="O29" i="17" s="1"/>
  <c r="O24" i="22"/>
</calcChain>
</file>

<file path=xl/sharedStrings.xml><?xml version="1.0" encoding="utf-8"?>
<sst xmlns="http://schemas.openxmlformats.org/spreadsheetml/2006/main" count="575" uniqueCount="168">
  <si>
    <t>1)</t>
  </si>
  <si>
    <t>2)</t>
  </si>
  <si>
    <t>3)</t>
  </si>
  <si>
    <t>4)</t>
  </si>
  <si>
    <t>5)</t>
  </si>
  <si>
    <t>6)</t>
  </si>
  <si>
    <t>Nation:</t>
  </si>
  <si>
    <t>A1
30%</t>
  </si>
  <si>
    <t>A2
25%</t>
  </si>
  <si>
    <t>A4
15%</t>
  </si>
  <si>
    <t>Svår klass lag</t>
  </si>
  <si>
    <t>Hästpoäng</t>
  </si>
  <si>
    <t>Moment</t>
  </si>
  <si>
    <t>Datum:</t>
  </si>
  <si>
    <t>Tävlingsplats:</t>
  </si>
  <si>
    <t>Lag:</t>
  </si>
  <si>
    <t>Häst:</t>
  </si>
  <si>
    <t>Voltigör:</t>
  </si>
  <si>
    <t>Galoppkvalitet</t>
  </si>
  <si>
    <t>Rytm</t>
  </si>
  <si>
    <t>Gångart</t>
  </si>
  <si>
    <t>Kontakt</t>
  </si>
  <si>
    <t>Lösgjordhet</t>
  </si>
  <si>
    <t>Rakriktning</t>
  </si>
  <si>
    <t>Samling</t>
  </si>
  <si>
    <t>Framåtbjudning</t>
  </si>
  <si>
    <t>Regelbundenhet</t>
  </si>
  <si>
    <t>Volten</t>
  </si>
  <si>
    <t>Longering</t>
  </si>
  <si>
    <t>Linförare och häst</t>
  </si>
  <si>
    <t>Summa</t>
  </si>
  <si>
    <t>Domare:</t>
  </si>
  <si>
    <t>Signatur:</t>
  </si>
  <si>
    <t>Bjudning</t>
  </si>
  <si>
    <t>Hästens voltigerbarhet</t>
  </si>
  <si>
    <t>Allmänt</t>
  </si>
  <si>
    <t xml:space="preserve">Inspring: korrekt ledande av häst,
Hälsning: Hästen visar ett bra beteende,
Presentation och utrustning
korrekt travvolt
</t>
  </si>
  <si>
    <t xml:space="preserve">Korrekta hjälper,
Lämplig piskhantering,
sträckt lina, kontakt med hästen,
linförarens position och hållning
</t>
  </si>
  <si>
    <t xml:space="preserve">Följer voltspåret, 
Går ej in/ut på volten
</t>
  </si>
  <si>
    <t>Galoppfel, travsteg m.m.</t>
  </si>
  <si>
    <t xml:space="preserve">Uppmärksamhet och säkerhet,
accepterar bettet,
harmoni och lätthet,
inga tungfel
ingen stress eller spändhet
</t>
  </si>
  <si>
    <t>Eftergift</t>
  </si>
  <si>
    <t>Korrekt ställning och böjning för volten, 
spårar på volten</t>
  </si>
  <si>
    <t xml:space="preserve">Form, bärighet, lätt ej framtung,
hästen i "uppförsbacke"
</t>
  </si>
  <si>
    <t>Framåtbjudning, driver bakifrån,
energisk med aktiva språng</t>
  </si>
  <si>
    <t xml:space="preserve">Lätt och stadig kontakt med bettet, nosen framför lodplan,
bärighet med nacken som högsta punkt
</t>
  </si>
  <si>
    <t xml:space="preserve">Elastcitet,
god rörelsefrihet
</t>
  </si>
  <si>
    <t>Regelbundenhet,
Tretaktig galopp med tydligt svävmoment</t>
  </si>
  <si>
    <t>Anteckningar</t>
  </si>
  <si>
    <t>Upphopp</t>
  </si>
  <si>
    <t>Grundsits</t>
  </si>
  <si>
    <t>Fana</t>
  </si>
  <si>
    <t>Stående</t>
  </si>
  <si>
    <t>Halv kvarn</t>
  </si>
  <si>
    <t>Kommentarer</t>
  </si>
  <si>
    <t>Summa grund:</t>
  </si>
  <si>
    <t xml:space="preserve">/ 6 voltigörer   </t>
  </si>
  <si>
    <t xml:space="preserve">/ 7  övningar  </t>
  </si>
  <si>
    <t>Poäng, grund</t>
  </si>
  <si>
    <t>Kvarn</t>
  </si>
  <si>
    <t>Sax del 1</t>
  </si>
  <si>
    <t>Sax del 2</t>
  </si>
  <si>
    <t xml:space="preserve">/ 8 övningar  </t>
  </si>
  <si>
    <t>Poäng grund</t>
  </si>
  <si>
    <t>Avdrag för fall</t>
  </si>
  <si>
    <t>Teknisk bedömning</t>
  </si>
  <si>
    <t>Artistisk bedömning</t>
  </si>
  <si>
    <t>Svårighetsgrad</t>
  </si>
  <si>
    <t>Utförande</t>
  </si>
  <si>
    <t>Avdrag</t>
  </si>
  <si>
    <t>Total avdrag</t>
  </si>
  <si>
    <t>Poäng utförande</t>
  </si>
  <si>
    <t>Teknisk poäng</t>
  </si>
  <si>
    <t xml:space="preserve"> /antal övn</t>
  </si>
  <si>
    <t>S-övningar</t>
  </si>
  <si>
    <t>M-övningar</t>
  </si>
  <si>
    <t>L-övningar</t>
  </si>
  <si>
    <t>Antal övningar</t>
  </si>
  <si>
    <t>Max. 20 övningar räknas</t>
  </si>
  <si>
    <t>Poäng</t>
  </si>
  <si>
    <t>Poäng svårighetsgrad</t>
  </si>
  <si>
    <t>Max. 25 övningar räknas</t>
  </si>
  <si>
    <t>Klass nr</t>
  </si>
  <si>
    <t>Poäng
0 till 10</t>
  </si>
  <si>
    <t>Artistisk poäng</t>
  </si>
  <si>
    <t>Linförare:</t>
  </si>
  <si>
    <t>Poäng 0 till 10</t>
  </si>
  <si>
    <t>Klubb:</t>
  </si>
  <si>
    <t>Start nr</t>
  </si>
  <si>
    <t>Bord</t>
  </si>
  <si>
    <t>A3
25%</t>
  </si>
  <si>
    <t>A5
5%</t>
  </si>
  <si>
    <t>Inspring, hälsning och travvolt</t>
  </si>
  <si>
    <t>Tabell för vilka protokoll som ska användas</t>
  </si>
  <si>
    <t>Endagarstävling 3 domare</t>
  </si>
  <si>
    <t>Omgång 1</t>
  </si>
  <si>
    <t>Omgång 2</t>
  </si>
  <si>
    <t>Domare A</t>
  </si>
  <si>
    <t>Domare B</t>
  </si>
  <si>
    <t>Domare C</t>
  </si>
  <si>
    <t>Endagarstävling 4 domare</t>
  </si>
  <si>
    <t>Domare D</t>
  </si>
  <si>
    <t>Tvådagarstävling 3 domare</t>
  </si>
  <si>
    <t>Omgång 3</t>
  </si>
  <si>
    <t>Häst, lag</t>
  </si>
  <si>
    <t>Mellan</t>
  </si>
  <si>
    <t>Svår, juniorlag</t>
  </si>
  <si>
    <t>Svår, seniorlag</t>
  </si>
  <si>
    <t>Lag kür art</t>
  </si>
  <si>
    <t>Tvådagarstävling 4 domare</t>
  </si>
  <si>
    <t>Mellanklass lag</t>
  </si>
  <si>
    <t>Svår klass juniorlag</t>
  </si>
  <si>
    <t>Svår klass seniorlag</t>
  </si>
  <si>
    <t>Lag kür</t>
  </si>
  <si>
    <t>Total</t>
  </si>
  <si>
    <t>Grundomgång</t>
  </si>
  <si>
    <t>häst x 1</t>
  </si>
  <si>
    <t>grund</t>
  </si>
  <si>
    <t>(B+C)/2</t>
  </si>
  <si>
    <t xml:space="preserve">  (A+B+C+D)/4</t>
  </si>
  <si>
    <t>Küromgång</t>
  </si>
  <si>
    <t>Tekniskt</t>
  </si>
  <si>
    <t xml:space="preserve"> Artistiskt</t>
  </si>
  <si>
    <t>B</t>
  </si>
  <si>
    <t>Summa (grund+kür)/2</t>
  </si>
  <si>
    <t>Om 3 domare används, beräknas poängen enligt följande tabell</t>
  </si>
  <si>
    <t>Information</t>
  </si>
  <si>
    <t>Överst finns tabeller över vilka protokoll som ska användas av respektive domare. Längre ner finns en tabell hur poängen ska beräknas om man har tre domare.</t>
  </si>
  <si>
    <t>Lag kür tekn sr</t>
  </si>
  <si>
    <t xml:space="preserve">Svår klass seniorlag kür </t>
  </si>
  <si>
    <t xml:space="preserve">Obs! Arbetsboken är skyddad med lösenordet 123 för att undvika att celler och formler ändras av misstag. </t>
  </si>
  <si>
    <t>Grund</t>
  </si>
  <si>
    <t>Sving framlänges</t>
  </si>
  <si>
    <t>Sving baklänges, inkl avgång</t>
  </si>
  <si>
    <t>Lag grund D</t>
  </si>
  <si>
    <t>Lag grund B</t>
  </si>
  <si>
    <t>Lag grund A</t>
  </si>
  <si>
    <t>Lag kür mellanklass</t>
  </si>
  <si>
    <t>Lag kür tekn mellan</t>
  </si>
  <si>
    <t>Lag kür tekn junior</t>
  </si>
  <si>
    <t xml:space="preserve">Gulmarkerade celler i protokollen markerar vilka celler som ska fyllas i. </t>
  </si>
  <si>
    <t>Protokollen uppdaterades senast 2019-03-28.</t>
  </si>
  <si>
    <t>7)</t>
  </si>
  <si>
    <t>8)</t>
  </si>
  <si>
    <t>9)</t>
  </si>
  <si>
    <t>Antal voltigörer:</t>
  </si>
  <si>
    <t xml:space="preserve">/ antalet voltigörer  </t>
  </si>
  <si>
    <t>Grund 2*</t>
  </si>
  <si>
    <t>Svår klass juniorlag kür</t>
  </si>
  <si>
    <t>Grund 3*</t>
  </si>
  <si>
    <t>Sidhopp del 1, följt av avgång inåt</t>
  </si>
  <si>
    <t>HÄNSYN TILL HÄSTEN</t>
  </si>
  <si>
    <r>
      <rPr>
        <b/>
        <sz val="9"/>
        <color indexed="8"/>
        <rFont val="Arial"/>
        <family val="2"/>
      </rPr>
      <t>Hänsyn till hästen</t>
    </r>
    <r>
      <rPr>
        <b/>
        <sz val="8"/>
        <color indexed="8"/>
        <rFont val="Arial"/>
        <family val="2"/>
      </rPr>
      <t xml:space="preserve">
</t>
    </r>
    <r>
      <rPr>
        <sz val="8"/>
        <color indexed="8"/>
        <rFont val="Arial"/>
        <family val="2"/>
      </rPr>
      <t xml:space="preserve">• Urval av element och sekvenser i harmoni med hästen, baserat på vikt, sammansättning och balans.
• Övningar som inte överbelastar hästen.
</t>
    </r>
  </si>
  <si>
    <t>CoH
20%</t>
  </si>
  <si>
    <r>
      <rPr>
        <b/>
        <sz val="9"/>
        <color indexed="8"/>
        <rFont val="Arial"/>
        <family val="2"/>
      </rPr>
      <t>Sammanhållning av sammansättning</t>
    </r>
    <r>
      <rPr>
        <sz val="8"/>
        <color indexed="8"/>
        <rFont val="Arial"/>
        <family val="2"/>
      </rPr>
      <t xml:space="preserve">
•  Mjuka övergångar och rörelser som visar flyt, kontroll och sammanhållning.
•  Element, sekvenser, övergångar, positioner, riktningar och kombinationer av övningar som uppvisar komplexitet och rörelsefrihet.
•  Undviker tom häst.</t>
    </r>
  </si>
  <si>
    <r>
      <rPr>
        <b/>
        <sz val="9"/>
        <color indexed="8"/>
        <rFont val="Arial"/>
        <family val="2"/>
      </rPr>
      <t>Tolkning av musiken/kroppsspråk/uttrycksfullhet.</t>
    </r>
    <r>
      <rPr>
        <sz val="8"/>
        <color indexed="8"/>
        <rFont val="Arial"/>
        <family val="2"/>
      </rPr>
      <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t>
    </r>
  </si>
  <si>
    <t>C2
10%</t>
  </si>
  <si>
    <t>C1
10%</t>
  </si>
  <si>
    <t>C3
30%</t>
  </si>
  <si>
    <t>C4
30%</t>
  </si>
  <si>
    <r>
      <rPr>
        <b/>
        <sz val="9"/>
        <color indexed="8"/>
        <rFont val="Arial"/>
        <family val="2"/>
      </rPr>
      <t>Variation av övningar</t>
    </r>
    <r>
      <rPr>
        <b/>
        <sz val="8"/>
        <color indexed="8"/>
        <rFont val="Arial"/>
        <family val="2"/>
      </rPr>
      <t xml:space="preserve">
</t>
    </r>
    <r>
      <rPr>
        <sz val="8"/>
        <color indexed="8"/>
        <rFont val="Arial"/>
        <family val="2"/>
      </rPr>
      <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t>
    </r>
  </si>
  <si>
    <r>
      <rPr>
        <b/>
        <sz val="9"/>
        <color indexed="8"/>
        <rFont val="Arial"/>
        <family val="2"/>
      </rPr>
      <t>Variation av position</t>
    </r>
    <r>
      <rPr>
        <sz val="8"/>
        <color indexed="8"/>
        <rFont val="Arial"/>
        <family val="2"/>
      </rPr>
      <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t>
    </r>
  </si>
  <si>
    <t>STRUKTUR</t>
  </si>
  <si>
    <t>KOREOGRAFI</t>
  </si>
  <si>
    <t>C1
20%</t>
  </si>
  <si>
    <t>C3
25%</t>
  </si>
  <si>
    <t>C4
25%</t>
  </si>
  <si>
    <t xml:space="preserve">/ 7 övningar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</si>
</sst>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"/>
    <numFmt numFmtId="165" formatCode="#,##0.000"/>
    <numFmt numFmtId="166" formatCode="0.000"/>
    <numFmt numFmtId="167" formatCode="_-* #,##0.0_-;\-* #,##0.0_-;_-* &quot;-&quot;??_-;_-@_-"/>
    <numFmt numFmtId="168" formatCode="_-* #,##0.000_-;\-* #,##0.000_-;_-* &quot;-&quot;??_-;_-@_-"/>
    <numFmt numFmtId="169" formatCode="0.0"/>
  </numFmts>
  <fonts count="24" x14ac:knownFonts="1">
    <font>
      <sz val="10"/>
      <name val="Arial"/>
      <charset val="238"/>
    </font>
    <font>
      <sz val="8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trike/>
      <sz val="10"/>
      <name val="Verdana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rgb="FF000000"/>
      <name val="Arial"/>
      <family val="2"/>
    </font>
    <font>
      <sz val="7"/>
      <color rgb="FF000000"/>
      <name val="Cambria"/>
      <family val="1"/>
      <scheme val="major"/>
    </font>
    <font>
      <sz val="7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Symbol"/>
      <family val="1"/>
      <charset val="2"/>
    </font>
    <font>
      <sz val="14"/>
      <name val="Arial"/>
      <family val="2"/>
    </font>
    <font>
      <i/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  <charset val="1"/>
    </font>
    <font>
      <sz val="10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22" fillId="0" borderId="0"/>
    <xf numFmtId="0" fontId="6" fillId="0" borderId="0"/>
  </cellStyleXfs>
  <cellXfs count="25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7" fillId="0" borderId="0" xfId="0" applyFont="1" applyAlignment="1">
      <alignment vertical="center"/>
    </xf>
    <xf numFmtId="0" fontId="2" fillId="0" borderId="1" xfId="3" applyFont="1" applyBorder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2" fillId="0" borderId="15" xfId="0" applyFont="1" applyBorder="1"/>
    <xf numFmtId="0" fontId="3" fillId="0" borderId="14" xfId="0" applyFont="1" applyBorder="1" applyAlignment="1">
      <alignment horizontal="center" vertical="center"/>
    </xf>
    <xf numFmtId="0" fontId="2" fillId="0" borderId="2" xfId="0" applyFont="1" applyBorder="1"/>
    <xf numFmtId="0" fontId="7" fillId="0" borderId="15" xfId="0" applyFont="1" applyBorder="1" applyAlignment="1">
      <alignment horizontal="left" vertical="center"/>
    </xf>
    <xf numFmtId="9" fontId="9" fillId="0" borderId="0" xfId="0" applyNumberFormat="1" applyFont="1" applyAlignment="1">
      <alignment horizontal="center" textRotation="90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/>
    <xf numFmtId="0" fontId="2" fillId="0" borderId="6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165" fontId="2" fillId="0" borderId="1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5" fillId="0" borderId="0" xfId="0" applyFont="1"/>
    <xf numFmtId="0" fontId="7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165" fontId="7" fillId="0" borderId="18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5" xfId="0" applyFont="1" applyBorder="1" applyAlignment="1">
      <alignment horizontal="left"/>
    </xf>
    <xf numFmtId="0" fontId="2" fillId="0" borderId="0" xfId="3" applyFont="1"/>
    <xf numFmtId="0" fontId="16" fillId="0" borderId="21" xfId="3" applyFont="1" applyBorder="1" applyAlignment="1">
      <alignment vertical="center" wrapText="1"/>
    </xf>
    <xf numFmtId="0" fontId="16" fillId="0" borderId="22" xfId="3" applyFont="1" applyBorder="1" applyAlignment="1">
      <alignment vertical="center" wrapText="1"/>
    </xf>
    <xf numFmtId="0" fontId="15" fillId="0" borderId="7" xfId="3" applyFont="1" applyBorder="1" applyAlignment="1">
      <alignment vertical="center" wrapText="1"/>
    </xf>
    <xf numFmtId="0" fontId="15" fillId="0" borderId="8" xfId="3" applyFont="1" applyBorder="1" applyAlignment="1">
      <alignment vertical="center" wrapText="1"/>
    </xf>
    <xf numFmtId="0" fontId="15" fillId="0" borderId="9" xfId="3" applyFont="1" applyBorder="1" applyAlignment="1">
      <alignment vertical="center" wrapText="1"/>
    </xf>
    <xf numFmtId="0" fontId="15" fillId="0" borderId="10" xfId="3" applyFont="1" applyBorder="1" applyAlignment="1">
      <alignment vertical="center" wrapText="1"/>
    </xf>
    <xf numFmtId="0" fontId="15" fillId="0" borderId="4" xfId="3" applyFont="1" applyBorder="1" applyAlignment="1">
      <alignment vertical="center" wrapText="1"/>
    </xf>
    <xf numFmtId="0" fontId="15" fillId="0" borderId="6" xfId="3" applyFont="1" applyBorder="1" applyAlignment="1">
      <alignment vertical="center" wrapText="1"/>
    </xf>
    <xf numFmtId="0" fontId="15" fillId="0" borderId="38" xfId="3" applyFont="1" applyBorder="1" applyAlignment="1">
      <alignment vertical="center" wrapText="1"/>
    </xf>
    <xf numFmtId="0" fontId="15" fillId="0" borderId="39" xfId="3" applyFont="1" applyBorder="1" applyAlignment="1">
      <alignment vertical="center" wrapText="1"/>
    </xf>
    <xf numFmtId="0" fontId="15" fillId="0" borderId="21" xfId="3" applyFont="1" applyBorder="1" applyAlignment="1">
      <alignment vertical="center" wrapText="1"/>
    </xf>
    <xf numFmtId="0" fontId="15" fillId="0" borderId="22" xfId="3" applyFont="1" applyBorder="1" applyAlignment="1">
      <alignment vertical="center" wrapText="1"/>
    </xf>
    <xf numFmtId="0" fontId="12" fillId="0" borderId="20" xfId="3" applyFont="1" applyBorder="1" applyAlignment="1">
      <alignment horizontal="left" vertical="center"/>
    </xf>
    <xf numFmtId="0" fontId="15" fillId="0" borderId="23" xfId="3" applyFont="1" applyBorder="1" applyAlignment="1">
      <alignment vertical="center" wrapText="1"/>
    </xf>
    <xf numFmtId="0" fontId="15" fillId="0" borderId="24" xfId="3" applyFont="1" applyBorder="1" applyAlignment="1">
      <alignment vertical="center" wrapText="1"/>
    </xf>
    <xf numFmtId="0" fontId="14" fillId="0" borderId="20" xfId="3" applyFont="1" applyBorder="1" applyAlignment="1">
      <alignment horizontal="center" vertical="center" wrapText="1"/>
    </xf>
    <xf numFmtId="0" fontId="9" fillId="0" borderId="51" xfId="3" applyFont="1" applyBorder="1" applyAlignment="1">
      <alignment horizontal="center" vertical="center" textRotation="90" wrapText="1"/>
    </xf>
    <xf numFmtId="0" fontId="15" fillId="0" borderId="43" xfId="3" applyFont="1" applyBorder="1" applyAlignment="1">
      <alignment vertical="center" wrapText="1"/>
    </xf>
    <xf numFmtId="0" fontId="15" fillId="0" borderId="44" xfId="3" applyFont="1" applyBorder="1" applyAlignment="1">
      <alignment vertical="center" wrapText="1"/>
    </xf>
    <xf numFmtId="0" fontId="14" fillId="0" borderId="41" xfId="3" applyFont="1" applyBorder="1" applyAlignment="1">
      <alignment horizontal="center" vertical="center" wrapText="1"/>
    </xf>
    <xf numFmtId="166" fontId="2" fillId="0" borderId="17" xfId="1" applyNumberFormat="1" applyFont="1" applyBorder="1" applyAlignment="1">
      <alignment horizontal="center" vertical="center" wrapText="1"/>
    </xf>
    <xf numFmtId="0" fontId="6" fillId="0" borderId="0" xfId="3"/>
    <xf numFmtId="0" fontId="7" fillId="0" borderId="16" xfId="3" applyFont="1" applyBorder="1" applyAlignment="1">
      <alignment vertical="center"/>
    </xf>
    <xf numFmtId="0" fontId="7" fillId="0" borderId="15" xfId="3" applyFont="1" applyBorder="1" applyAlignment="1">
      <alignment vertical="center"/>
    </xf>
    <xf numFmtId="0" fontId="2" fillId="0" borderId="1" xfId="3" applyFont="1" applyBorder="1" applyAlignment="1">
      <alignment horizontal="left"/>
    </xf>
    <xf numFmtId="0" fontId="2" fillId="0" borderId="1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5" fillId="0" borderId="15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3" fillId="0" borderId="4" xfId="0" applyFont="1" applyBorder="1"/>
    <xf numFmtId="0" fontId="2" fillId="0" borderId="5" xfId="0" applyFont="1" applyBorder="1" applyAlignment="1">
      <alignment horizontal="right"/>
    </xf>
    <xf numFmtId="165" fontId="3" fillId="0" borderId="6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67" fontId="2" fillId="0" borderId="0" xfId="1" applyNumberFormat="1" applyFont="1"/>
    <xf numFmtId="167" fontId="2" fillId="0" borderId="0" xfId="1" applyNumberFormat="1" applyFont="1" applyAlignment="1">
      <alignment vertical="center"/>
    </xf>
    <xf numFmtId="43" fontId="2" fillId="0" borderId="0" xfId="1" applyFont="1" applyAlignment="1">
      <alignment vertical="center"/>
    </xf>
    <xf numFmtId="166" fontId="2" fillId="0" borderId="0" xfId="1" applyNumberFormat="1" applyFont="1" applyAlignment="1">
      <alignment horizontal="center" vertical="center"/>
    </xf>
    <xf numFmtId="0" fontId="2" fillId="0" borderId="13" xfId="0" applyFont="1" applyBorder="1" applyAlignment="1">
      <alignment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2" xfId="1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right" vertical="center"/>
    </xf>
    <xf numFmtId="166" fontId="2" fillId="0" borderId="12" xfId="1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43" fontId="2" fillId="0" borderId="0" xfId="1" applyFont="1"/>
    <xf numFmtId="166" fontId="2" fillId="0" borderId="0" xfId="0" applyNumberFormat="1" applyFont="1" applyAlignment="1">
      <alignment horizontal="center"/>
    </xf>
    <xf numFmtId="0" fontId="2" fillId="0" borderId="11" xfId="0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Border="1"/>
    <xf numFmtId="0" fontId="3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66" fontId="3" fillId="0" borderId="17" xfId="1" applyNumberFormat="1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7" fillId="0" borderId="15" xfId="0" applyFont="1" applyBorder="1" applyAlignment="1">
      <alignment vertical="center"/>
    </xf>
    <xf numFmtId="166" fontId="7" fillId="0" borderId="17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166" fontId="3" fillId="0" borderId="33" xfId="1" applyNumberFormat="1" applyFont="1" applyBorder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66" fontId="3" fillId="0" borderId="34" xfId="1" applyNumberFormat="1" applyFont="1" applyBorder="1" applyAlignment="1">
      <alignment horizontal="center" vertical="center" wrapText="1"/>
    </xf>
    <xf numFmtId="166" fontId="3" fillId="0" borderId="35" xfId="1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6" fontId="3" fillId="0" borderId="36" xfId="1" applyNumberFormat="1" applyFont="1" applyBorder="1" applyAlignment="1">
      <alignment horizontal="center" vertical="center" wrapText="1"/>
    </xf>
    <xf numFmtId="166" fontId="2" fillId="0" borderId="37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169" fontId="2" fillId="0" borderId="12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vertical="center"/>
    </xf>
    <xf numFmtId="2" fontId="2" fillId="0" borderId="7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69" fontId="2" fillId="0" borderId="12" xfId="1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vertical="center"/>
    </xf>
    <xf numFmtId="2" fontId="2" fillId="0" borderId="15" xfId="0" applyNumberFormat="1" applyFont="1" applyBorder="1" applyAlignment="1">
      <alignment vertical="center"/>
    </xf>
    <xf numFmtId="2" fontId="8" fillId="0" borderId="15" xfId="0" applyNumberFormat="1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166" fontId="3" fillId="0" borderId="0" xfId="1" applyNumberFormat="1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8" fillId="0" borderId="15" xfId="0" applyFont="1" applyBorder="1"/>
    <xf numFmtId="168" fontId="3" fillId="0" borderId="17" xfId="1" applyNumberFormat="1" applyFont="1" applyBorder="1" applyAlignment="1">
      <alignment vertical="center"/>
    </xf>
    <xf numFmtId="166" fontId="7" fillId="0" borderId="17" xfId="0" applyNumberFormat="1" applyFont="1" applyBorder="1" applyAlignment="1">
      <alignment vertical="center"/>
    </xf>
    <xf numFmtId="166" fontId="2" fillId="0" borderId="0" xfId="0" applyNumberFormat="1" applyFont="1"/>
    <xf numFmtId="0" fontId="2" fillId="0" borderId="52" xfId="0" applyFont="1" applyBorder="1"/>
    <xf numFmtId="0" fontId="2" fillId="2" borderId="11" xfId="0" applyFont="1" applyFill="1" applyBorder="1"/>
    <xf numFmtId="0" fontId="2" fillId="0" borderId="13" xfId="0" applyFont="1" applyBorder="1"/>
    <xf numFmtId="0" fontId="2" fillId="0" borderId="2" xfId="0" applyFont="1" applyBorder="1" applyAlignment="1">
      <alignment horizontal="right"/>
    </xf>
    <xf numFmtId="165" fontId="3" fillId="0" borderId="13" xfId="0" applyNumberFormat="1" applyFont="1" applyBorder="1" applyAlignment="1">
      <alignment horizontal="center"/>
    </xf>
    <xf numFmtId="0" fontId="12" fillId="0" borderId="41" xfId="3" applyFont="1" applyBorder="1" applyAlignment="1">
      <alignment horizontal="left" vertical="center" wrapText="1"/>
    </xf>
    <xf numFmtId="0" fontId="19" fillId="0" borderId="0" xfId="0" applyFont="1"/>
    <xf numFmtId="0" fontId="6" fillId="0" borderId="0" xfId="0" applyFont="1"/>
    <xf numFmtId="0" fontId="9" fillId="0" borderId="0" xfId="0" applyFont="1"/>
    <xf numFmtId="0" fontId="20" fillId="0" borderId="0" xfId="0" applyFont="1"/>
    <xf numFmtId="0" fontId="6" fillId="0" borderId="12" xfId="0" applyFont="1" applyBorder="1" applyAlignment="1">
      <alignment wrapText="1"/>
    </xf>
    <xf numFmtId="0" fontId="6" fillId="0" borderId="29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9" fillId="0" borderId="12" xfId="0" applyFont="1" applyBorder="1" applyAlignment="1">
      <alignment wrapText="1"/>
    </xf>
    <xf numFmtId="0" fontId="9" fillId="0" borderId="0" xfId="0" applyFont="1" applyAlignment="1">
      <alignment wrapText="1"/>
    </xf>
    <xf numFmtId="0" fontId="19" fillId="0" borderId="0" xfId="5" applyFont="1"/>
    <xf numFmtId="0" fontId="21" fillId="0" borderId="0" xfId="5" applyFont="1"/>
    <xf numFmtId="0" fontId="6" fillId="0" borderId="0" xfId="5"/>
    <xf numFmtId="166" fontId="2" fillId="0" borderId="27" xfId="1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69" fontId="3" fillId="3" borderId="20" xfId="1" applyNumberFormat="1" applyFont="1" applyFill="1" applyBorder="1" applyAlignment="1">
      <alignment horizontal="center" vertical="center"/>
    </xf>
    <xf numFmtId="169" fontId="3" fillId="3" borderId="41" xfId="1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/>
    </xf>
    <xf numFmtId="166" fontId="2" fillId="3" borderId="12" xfId="1" applyNumberFormat="1" applyFont="1" applyFill="1" applyBorder="1" applyAlignment="1">
      <alignment horizontal="center"/>
    </xf>
    <xf numFmtId="169" fontId="3" fillId="3" borderId="28" xfId="1" applyNumberFormat="1" applyFont="1" applyFill="1" applyBorder="1" applyAlignment="1">
      <alignment horizontal="center" vertical="center"/>
    </xf>
    <xf numFmtId="169" fontId="3" fillId="3" borderId="30" xfId="1" applyNumberFormat="1" applyFont="1" applyFill="1" applyBorder="1" applyAlignment="1">
      <alignment horizontal="center" vertical="center"/>
    </xf>
    <xf numFmtId="169" fontId="3" fillId="3" borderId="31" xfId="1" applyNumberFormat="1" applyFont="1" applyFill="1" applyBorder="1" applyAlignment="1">
      <alignment horizontal="center" vertical="center"/>
    </xf>
    <xf numFmtId="169" fontId="3" fillId="3" borderId="32" xfId="1" applyNumberFormat="1" applyFont="1" applyFill="1" applyBorder="1" applyAlignment="1">
      <alignment horizontal="center" vertical="center"/>
    </xf>
    <xf numFmtId="166" fontId="2" fillId="3" borderId="12" xfId="1" applyNumberFormat="1" applyFont="1" applyFill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7"/>
    <xf numFmtId="0" fontId="4" fillId="0" borderId="49" xfId="0" applyFont="1" applyBorder="1" applyAlignment="1">
      <alignment horizontal="center" wrapText="1"/>
    </xf>
    <xf numFmtId="0" fontId="23" fillId="0" borderId="0" xfId="0" applyFont="1"/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4" fillId="0" borderId="19" xfId="3" applyFont="1" applyBorder="1" applyAlignment="1">
      <alignment horizontal="center" vertical="center" wrapText="1"/>
    </xf>
    <xf numFmtId="1" fontId="2" fillId="3" borderId="12" xfId="0" applyNumberFormat="1" applyFont="1" applyFill="1" applyBorder="1" applyAlignment="1">
      <alignment horizontal="center" vertical="center" wrapText="1"/>
    </xf>
    <xf numFmtId="166" fontId="2" fillId="2" borderId="12" xfId="1" applyNumberFormat="1" applyFont="1" applyFill="1" applyBorder="1" applyAlignment="1">
      <alignment horizontal="center"/>
    </xf>
    <xf numFmtId="0" fontId="9" fillId="0" borderId="53" xfId="5" applyFont="1" applyBorder="1" applyAlignment="1">
      <alignment horizontal="center" vertical="center" textRotation="90" wrapText="1"/>
    </xf>
    <xf numFmtId="169" fontId="3" fillId="3" borderId="28" xfId="1" applyNumberFormat="1" applyFont="1" applyFill="1" applyBorder="1" applyAlignment="1" applyProtection="1">
      <alignment horizontal="center" vertical="center"/>
      <protection locked="0"/>
    </xf>
    <xf numFmtId="166" fontId="3" fillId="0" borderId="33" xfId="1" applyNumberFormat="1" applyFon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13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0" xfId="0" applyFont="1" applyBorder="1"/>
    <xf numFmtId="0" fontId="9" fillId="0" borderId="46" xfId="0" applyFont="1" applyBorder="1" applyAlignment="1">
      <alignment horizontal="center" vertical="center" textRotation="90" wrapText="1"/>
    </xf>
    <xf numFmtId="0" fontId="9" fillId="0" borderId="47" xfId="0" applyFont="1" applyBorder="1" applyAlignment="1">
      <alignment horizontal="center" vertical="center" textRotation="90" wrapText="1"/>
    </xf>
    <xf numFmtId="0" fontId="11" fillId="0" borderId="19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1" fillId="0" borderId="25" xfId="5" applyFont="1" applyBorder="1" applyAlignment="1">
      <alignment horizontal="left" vertical="top" wrapText="1"/>
    </xf>
    <xf numFmtId="0" fontId="11" fillId="0" borderId="42" xfId="5" applyFont="1" applyBorder="1" applyAlignment="1">
      <alignment horizontal="left" vertical="top" wrapText="1"/>
    </xf>
    <xf numFmtId="0" fontId="11" fillId="0" borderId="26" xfId="5" applyFont="1" applyBorder="1" applyAlignment="1">
      <alignment horizontal="left" vertical="top" wrapText="1"/>
    </xf>
    <xf numFmtId="0" fontId="11" fillId="0" borderId="11" xfId="5" applyFont="1" applyBorder="1" applyAlignment="1">
      <alignment horizontal="left" vertical="center" wrapText="1"/>
    </xf>
    <xf numFmtId="0" fontId="11" fillId="0" borderId="2" xfId="5" applyFont="1" applyBorder="1" applyAlignment="1">
      <alignment horizontal="left" vertical="center" wrapText="1"/>
    </xf>
    <xf numFmtId="0" fontId="11" fillId="0" borderId="13" xfId="5" applyFont="1" applyBorder="1" applyAlignment="1">
      <alignment horizontal="left" vertical="center" wrapText="1"/>
    </xf>
    <xf numFmtId="0" fontId="10" fillId="0" borderId="25" xfId="5" applyFont="1" applyBorder="1" applyAlignment="1">
      <alignment horizontal="left" vertical="center" wrapText="1"/>
    </xf>
    <xf numFmtId="0" fontId="10" fillId="0" borderId="42" xfId="5" applyFont="1" applyBorder="1" applyAlignment="1">
      <alignment horizontal="left" vertical="center" wrapText="1"/>
    </xf>
    <xf numFmtId="0" fontId="10" fillId="0" borderId="26" xfId="5" applyFont="1" applyBorder="1" applyAlignment="1">
      <alignment horizontal="left" vertical="center" wrapText="1"/>
    </xf>
    <xf numFmtId="0" fontId="9" fillId="0" borderId="48" xfId="0" applyFont="1" applyBorder="1" applyAlignment="1">
      <alignment horizontal="center" vertical="center" textRotation="90" wrapText="1"/>
    </xf>
    <xf numFmtId="0" fontId="15" fillId="0" borderId="43" xfId="3" applyFont="1" applyBorder="1" applyAlignment="1">
      <alignment horizontal="left" vertical="justify" wrapText="1"/>
    </xf>
    <xf numFmtId="0" fontId="15" fillId="0" borderId="15" xfId="3" applyFont="1" applyBorder="1" applyAlignment="1">
      <alignment horizontal="left" vertical="justify" wrapText="1"/>
    </xf>
    <xf numFmtId="0" fontId="9" fillId="0" borderId="46" xfId="3" applyFont="1" applyBorder="1" applyAlignment="1">
      <alignment horizontal="center" vertical="center" textRotation="90" wrapText="1"/>
    </xf>
    <xf numFmtId="0" fontId="9" fillId="0" borderId="47" xfId="3" applyFont="1" applyBorder="1" applyAlignment="1">
      <alignment horizontal="center" vertical="center" textRotation="90" wrapText="1"/>
    </xf>
    <xf numFmtId="0" fontId="9" fillId="0" borderId="48" xfId="3" applyFont="1" applyBorder="1" applyAlignment="1">
      <alignment horizontal="center" vertical="center" textRotation="90" wrapText="1"/>
    </xf>
    <xf numFmtId="0" fontId="12" fillId="0" borderId="50" xfId="3" applyFont="1" applyBorder="1" applyAlignment="1">
      <alignment horizontal="left" vertical="center" wrapText="1"/>
    </xf>
    <xf numFmtId="0" fontId="12" fillId="0" borderId="29" xfId="3" applyFont="1" applyBorder="1" applyAlignment="1">
      <alignment horizontal="left" vertical="center" wrapText="1"/>
    </xf>
    <xf numFmtId="0" fontId="12" fillId="0" borderId="37" xfId="3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14" fillId="0" borderId="1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left" vertical="center" wrapText="1"/>
    </xf>
    <xf numFmtId="0" fontId="15" fillId="0" borderId="11" xfId="3" applyFont="1" applyBorder="1" applyAlignment="1">
      <alignment horizontal="left" vertical="justify" wrapText="1"/>
    </xf>
    <xf numFmtId="0" fontId="15" fillId="0" borderId="2" xfId="3" applyFont="1" applyBorder="1" applyAlignment="1">
      <alignment horizontal="left" vertical="justify" wrapText="1"/>
    </xf>
    <xf numFmtId="0" fontId="17" fillId="0" borderId="20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left" vertical="justify" wrapText="1"/>
    </xf>
    <xf numFmtId="0" fontId="15" fillId="0" borderId="45" xfId="3" applyFont="1" applyBorder="1" applyAlignment="1">
      <alignment horizontal="left" vertical="justify" wrapText="1"/>
    </xf>
    <xf numFmtId="0" fontId="17" fillId="0" borderId="19" xfId="3" applyFont="1" applyBorder="1" applyAlignment="1">
      <alignment horizontal="left" vertical="center" wrapText="1"/>
    </xf>
    <xf numFmtId="0" fontId="15" fillId="0" borderId="25" xfId="3" applyFont="1" applyBorder="1" applyAlignment="1">
      <alignment horizontal="left" vertical="justify" wrapText="1"/>
    </xf>
    <xf numFmtId="0" fontId="15" fillId="0" borderId="42" xfId="3" applyFont="1" applyBorder="1" applyAlignment="1">
      <alignment horizontal="left" vertical="justify" wrapText="1"/>
    </xf>
    <xf numFmtId="0" fontId="16" fillId="0" borderId="25" xfId="3" applyFont="1" applyBorder="1" applyAlignment="1">
      <alignment horizontal="left" vertical="justify" wrapText="1"/>
    </xf>
    <xf numFmtId="0" fontId="16" fillId="0" borderId="42" xfId="3" applyFont="1" applyBorder="1" applyAlignment="1">
      <alignment horizontal="left" vertical="justify" wrapText="1"/>
    </xf>
    <xf numFmtId="0" fontId="12" fillId="0" borderId="40" xfId="3" applyFont="1" applyBorder="1" applyAlignment="1">
      <alignment horizontal="left" vertical="center"/>
    </xf>
    <xf numFmtId="0" fontId="12" fillId="0" borderId="29" xfId="3" applyFont="1" applyBorder="1" applyAlignment="1">
      <alignment horizontal="left" vertical="center"/>
    </xf>
    <xf numFmtId="0" fontId="12" fillId="0" borderId="49" xfId="3" applyFont="1" applyBorder="1" applyAlignment="1">
      <alignment horizontal="left" vertical="center"/>
    </xf>
    <xf numFmtId="0" fontId="14" fillId="0" borderId="20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0" fontId="4" fillId="0" borderId="4" xfId="3" applyFont="1" applyBorder="1" applyAlignment="1">
      <alignment horizontal="center" wrapText="1"/>
    </xf>
    <xf numFmtId="0" fontId="4" fillId="0" borderId="5" xfId="3" applyFont="1" applyBorder="1" applyAlignment="1">
      <alignment horizontal="center" wrapText="1"/>
    </xf>
    <xf numFmtId="0" fontId="4" fillId="0" borderId="6" xfId="3" applyFont="1" applyBorder="1" applyAlignment="1">
      <alignment horizontal="center" wrapText="1"/>
    </xf>
    <xf numFmtId="166" fontId="7" fillId="0" borderId="16" xfId="3" applyNumberFormat="1" applyFont="1" applyBorder="1" applyAlignment="1">
      <alignment horizontal="center" vertical="center"/>
    </xf>
    <xf numFmtId="166" fontId="7" fillId="0" borderId="14" xfId="3" applyNumberFormat="1" applyFont="1" applyBorder="1" applyAlignment="1">
      <alignment horizontal="center" vertical="center"/>
    </xf>
    <xf numFmtId="166" fontId="2" fillId="0" borderId="28" xfId="1" applyNumberFormat="1" applyFont="1" applyBorder="1" applyAlignment="1">
      <alignment horizontal="center" vertical="center" wrapText="1"/>
    </xf>
    <xf numFmtId="166" fontId="2" fillId="0" borderId="32" xfId="1" applyNumberFormat="1" applyFont="1" applyBorder="1" applyAlignment="1">
      <alignment horizontal="center" vertical="center" wrapText="1"/>
    </xf>
    <xf numFmtId="169" fontId="3" fillId="3" borderId="19" xfId="1" applyNumberFormat="1" applyFont="1" applyFill="1" applyBorder="1" applyAlignment="1">
      <alignment horizontal="center" vertical="center"/>
    </xf>
    <xf numFmtId="169" fontId="3" fillId="3" borderId="12" xfId="1" applyNumberFormat="1" applyFont="1" applyFill="1" applyBorder="1" applyAlignment="1">
      <alignment horizontal="center" vertical="center"/>
    </xf>
    <xf numFmtId="169" fontId="3" fillId="3" borderId="20" xfId="1" applyNumberFormat="1" applyFont="1" applyFill="1" applyBorder="1" applyAlignment="1">
      <alignment horizontal="center" vertical="center"/>
    </xf>
    <xf numFmtId="166" fontId="2" fillId="0" borderId="27" xfId="1" applyNumberFormat="1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1" xfId="0" applyFont="1" applyBorder="1" applyAlignment="1">
      <alignment vertical="center" shrinkToFit="1"/>
    </xf>
    <xf numFmtId="0" fontId="2" fillId="0" borderId="11" xfId="5" applyFont="1" applyBorder="1" applyAlignment="1" applyProtection="1">
      <alignment horizontal="left" vertical="center" wrapText="1"/>
      <protection locked="0"/>
    </xf>
    <xf numFmtId="0" fontId="2" fillId="0" borderId="2" xfId="5" applyFont="1" applyBorder="1" applyAlignment="1" applyProtection="1">
      <alignment horizontal="left" vertical="center" wrapText="1"/>
      <protection locked="0"/>
    </xf>
    <xf numFmtId="0" fontId="2" fillId="0" borderId="13" xfId="0" applyFont="1" applyBorder="1" applyAlignment="1">
      <alignment vertical="center"/>
    </xf>
    <xf numFmtId="0" fontId="2" fillId="0" borderId="7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</cellXfs>
  <cellStyles count="8">
    <cellStyle name="Dezimal 2" xfId="2" xr:uid="{00000000-0005-0000-0000-000000000000}"/>
    <cellStyle name="Dezimal 2 2" xfId="4" xr:uid="{00000000-0005-0000-0000-000001000000}"/>
    <cellStyle name="Excel Built-in Normal" xfId="6" xr:uid="{00000000-0005-0000-0000-000002000000}"/>
    <cellStyle name="Normal" xfId="0" builtinId="0"/>
    <cellStyle name="Normal 2" xfId="5" xr:uid="{00000000-0005-0000-0000-000004000000}"/>
    <cellStyle name="Normal 3" xfId="7" xr:uid="{00000000-0005-0000-0000-000005000000}"/>
    <cellStyle name="Standard 2" xfId="3" xr:uid="{00000000-0005-0000-0000-000006000000}"/>
    <cellStyle name="Tusental" xfId="1" builtinId="3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workbookViewId="0">
      <selection activeCell="J15" sqref="J15:J17"/>
    </sheetView>
  </sheetViews>
  <sheetFormatPr defaultRowHeight="12.5" x14ac:dyDescent="0.25"/>
  <cols>
    <col min="1" max="18" width="15.7265625" customWidth="1"/>
  </cols>
  <sheetData>
    <row r="1" spans="1:8" s="148" customFormat="1" ht="31.5" customHeight="1" x14ac:dyDescent="0.4">
      <c r="A1" s="147" t="s">
        <v>126</v>
      </c>
    </row>
    <row r="2" spans="1:8" s="148" customFormat="1" ht="20.25" customHeight="1" x14ac:dyDescent="0.25">
      <c r="A2" s="148" t="s">
        <v>127</v>
      </c>
    </row>
    <row r="3" spans="1:8" s="148" customFormat="1" ht="18" customHeight="1" x14ac:dyDescent="0.25">
      <c r="A3" s="148" t="s">
        <v>130</v>
      </c>
    </row>
    <row r="4" spans="1:8" s="163" customFormat="1" ht="21.75" customHeight="1" x14ac:dyDescent="0.25">
      <c r="A4" s="163" t="s">
        <v>141</v>
      </c>
    </row>
    <row r="5" spans="1:8" s="163" customFormat="1" ht="18" customHeight="1" x14ac:dyDescent="0.25">
      <c r="A5" s="163" t="s">
        <v>140</v>
      </c>
    </row>
    <row r="6" spans="1:8" s="163" customFormat="1" x14ac:dyDescent="0.25"/>
    <row r="7" spans="1:8" s="148" customFormat="1" x14ac:dyDescent="0.25"/>
    <row r="8" spans="1:8" s="134" customFormat="1" ht="17.5" x14ac:dyDescent="0.35">
      <c r="A8" s="134" t="s">
        <v>93</v>
      </c>
    </row>
    <row r="10" spans="1:8" x14ac:dyDescent="0.25">
      <c r="A10" s="135"/>
    </row>
    <row r="11" spans="1:8" x14ac:dyDescent="0.25">
      <c r="A11" s="135"/>
    </row>
    <row r="12" spans="1:8" s="136" customFormat="1" ht="13" x14ac:dyDescent="0.3">
      <c r="A12" s="136" t="s">
        <v>94</v>
      </c>
    </row>
    <row r="13" spans="1:8" ht="19.5" customHeight="1" x14ac:dyDescent="0.3">
      <c r="B13" s="137" t="s">
        <v>95</v>
      </c>
      <c r="C13" s="135"/>
      <c r="F13" s="137" t="s">
        <v>96</v>
      </c>
    </row>
    <row r="14" spans="1:8" ht="20.149999999999999" customHeight="1" x14ac:dyDescent="0.3">
      <c r="B14" s="136" t="s">
        <v>97</v>
      </c>
      <c r="C14" s="136" t="s">
        <v>98</v>
      </c>
      <c r="D14" s="136" t="s">
        <v>99</v>
      </c>
      <c r="E14" s="136"/>
      <c r="F14" s="136" t="s">
        <v>97</v>
      </c>
      <c r="G14" s="136" t="s">
        <v>98</v>
      </c>
      <c r="H14" s="136" t="s">
        <v>99</v>
      </c>
    </row>
    <row r="15" spans="1:8" ht="25" customHeight="1" x14ac:dyDescent="0.25">
      <c r="A15" s="135" t="s">
        <v>105</v>
      </c>
      <c r="B15" s="138" t="s">
        <v>104</v>
      </c>
      <c r="C15" s="138" t="s">
        <v>134</v>
      </c>
      <c r="D15" s="138" t="s">
        <v>134</v>
      </c>
      <c r="E15" s="139"/>
      <c r="F15" s="138" t="s">
        <v>104</v>
      </c>
      <c r="G15" s="138" t="s">
        <v>138</v>
      </c>
      <c r="H15" s="138" t="s">
        <v>108</v>
      </c>
    </row>
    <row r="16" spans="1:8" ht="25" customHeight="1" x14ac:dyDescent="0.25">
      <c r="A16" s="135"/>
      <c r="B16" s="140"/>
      <c r="C16" s="140"/>
      <c r="D16" s="140"/>
      <c r="E16" s="162"/>
      <c r="F16" s="140"/>
      <c r="G16" s="140"/>
      <c r="H16" s="140"/>
    </row>
    <row r="17" spans="1:9" s="135" customFormat="1" ht="25" customHeight="1" x14ac:dyDescent="0.25">
      <c r="A17" s="135" t="s">
        <v>106</v>
      </c>
      <c r="B17" s="138" t="s">
        <v>104</v>
      </c>
      <c r="C17" s="138" t="s">
        <v>135</v>
      </c>
      <c r="D17" s="138" t="s">
        <v>135</v>
      </c>
      <c r="E17" s="139"/>
      <c r="F17" s="138" t="s">
        <v>104</v>
      </c>
      <c r="G17" s="138" t="s">
        <v>139</v>
      </c>
      <c r="H17" s="138" t="s">
        <v>108</v>
      </c>
    </row>
    <row r="18" spans="1:9" ht="25" customHeight="1" x14ac:dyDescent="0.25">
      <c r="A18" s="135"/>
      <c r="B18" s="140"/>
      <c r="C18" s="140"/>
      <c r="D18" s="140"/>
      <c r="E18" s="162"/>
      <c r="F18" s="140"/>
      <c r="G18" s="140"/>
      <c r="H18" s="140"/>
    </row>
    <row r="19" spans="1:9" ht="25" customHeight="1" x14ac:dyDescent="0.25">
      <c r="A19" s="135" t="s">
        <v>107</v>
      </c>
      <c r="B19" s="138" t="s">
        <v>104</v>
      </c>
      <c r="C19" s="138" t="s">
        <v>136</v>
      </c>
      <c r="D19" s="138" t="s">
        <v>136</v>
      </c>
      <c r="E19" s="139"/>
      <c r="F19" s="138" t="s">
        <v>104</v>
      </c>
      <c r="G19" s="138" t="s">
        <v>128</v>
      </c>
      <c r="H19" s="138" t="s">
        <v>108</v>
      </c>
    </row>
    <row r="20" spans="1:9" ht="25" customHeight="1" x14ac:dyDescent="0.25">
      <c r="A20" s="135"/>
      <c r="B20" s="141"/>
      <c r="C20" s="141"/>
      <c r="D20" s="141"/>
      <c r="E20" s="162"/>
      <c r="F20" s="141"/>
      <c r="G20" s="141"/>
      <c r="H20" s="141"/>
    </row>
    <row r="22" spans="1:9" s="136" customFormat="1" ht="13" x14ac:dyDescent="0.3">
      <c r="A22" s="136" t="s">
        <v>100</v>
      </c>
    </row>
    <row r="23" spans="1:9" ht="20.149999999999999" customHeight="1" x14ac:dyDescent="0.3">
      <c r="B23" s="137" t="s">
        <v>95</v>
      </c>
      <c r="C23" s="135"/>
      <c r="F23" s="137" t="s">
        <v>96</v>
      </c>
    </row>
    <row r="24" spans="1:9" ht="20.149999999999999" customHeight="1" x14ac:dyDescent="0.3">
      <c r="B24" s="136" t="s">
        <v>97</v>
      </c>
      <c r="C24" s="136" t="s">
        <v>98</v>
      </c>
      <c r="D24" s="136" t="s">
        <v>99</v>
      </c>
      <c r="E24" s="136" t="s">
        <v>101</v>
      </c>
      <c r="F24" s="136" t="s">
        <v>97</v>
      </c>
      <c r="G24" s="136" t="s">
        <v>98</v>
      </c>
      <c r="H24" s="136" t="s">
        <v>99</v>
      </c>
      <c r="I24" s="136" t="s">
        <v>101</v>
      </c>
    </row>
    <row r="25" spans="1:9" ht="25" customHeight="1" x14ac:dyDescent="0.25">
      <c r="A25" s="135" t="s">
        <v>105</v>
      </c>
      <c r="B25" s="138" t="s">
        <v>104</v>
      </c>
      <c r="C25" s="138" t="s">
        <v>134</v>
      </c>
      <c r="D25" s="138" t="s">
        <v>134</v>
      </c>
      <c r="E25" s="138" t="s">
        <v>134</v>
      </c>
      <c r="F25" s="138" t="s">
        <v>104</v>
      </c>
      <c r="G25" s="138" t="s">
        <v>138</v>
      </c>
      <c r="H25" s="138" t="s">
        <v>108</v>
      </c>
      <c r="I25" s="138" t="s">
        <v>138</v>
      </c>
    </row>
    <row r="26" spans="1:9" ht="25" customHeight="1" x14ac:dyDescent="0.25">
      <c r="A26" s="135"/>
      <c r="B26" s="140"/>
      <c r="C26" s="140"/>
      <c r="D26" s="140"/>
      <c r="E26" s="140"/>
      <c r="F26" s="140"/>
      <c r="G26" s="140"/>
      <c r="H26" s="140"/>
      <c r="I26" s="140"/>
    </row>
    <row r="27" spans="1:9" s="135" customFormat="1" ht="25" customHeight="1" x14ac:dyDescent="0.25">
      <c r="A27" s="135" t="s">
        <v>106</v>
      </c>
      <c r="B27" s="138" t="s">
        <v>104</v>
      </c>
      <c r="C27" s="138" t="s">
        <v>135</v>
      </c>
      <c r="D27" s="138" t="s">
        <v>135</v>
      </c>
      <c r="E27" s="138" t="s">
        <v>135</v>
      </c>
      <c r="F27" s="138" t="s">
        <v>104</v>
      </c>
      <c r="G27" s="138" t="s">
        <v>139</v>
      </c>
      <c r="H27" s="138" t="s">
        <v>108</v>
      </c>
      <c r="I27" s="138" t="s">
        <v>139</v>
      </c>
    </row>
    <row r="28" spans="1:9" ht="25" customHeight="1" x14ac:dyDescent="0.25">
      <c r="A28" s="135"/>
      <c r="B28" s="140"/>
      <c r="C28" s="140"/>
      <c r="D28" s="140"/>
      <c r="E28" s="140"/>
      <c r="F28" s="140"/>
      <c r="G28" s="140"/>
      <c r="H28" s="140"/>
      <c r="I28" s="140"/>
    </row>
    <row r="29" spans="1:9" ht="25" customHeight="1" x14ac:dyDescent="0.25">
      <c r="A29" s="135" t="s">
        <v>107</v>
      </c>
      <c r="B29" s="138" t="s">
        <v>104</v>
      </c>
      <c r="C29" s="138" t="s">
        <v>136</v>
      </c>
      <c r="D29" s="138" t="s">
        <v>136</v>
      </c>
      <c r="E29" s="138" t="s">
        <v>136</v>
      </c>
      <c r="F29" s="138" t="s">
        <v>104</v>
      </c>
      <c r="G29" s="138" t="s">
        <v>128</v>
      </c>
      <c r="H29" s="138" t="s">
        <v>108</v>
      </c>
      <c r="I29" s="138" t="s">
        <v>128</v>
      </c>
    </row>
    <row r="30" spans="1:9" x14ac:dyDescent="0.25">
      <c r="B30" s="162"/>
      <c r="C30" s="162"/>
      <c r="D30" s="162"/>
      <c r="E30" s="162"/>
    </row>
    <row r="31" spans="1:9" x14ac:dyDescent="0.25">
      <c r="B31" s="162"/>
      <c r="C31" s="162"/>
      <c r="D31" s="162"/>
      <c r="E31" s="162"/>
    </row>
    <row r="32" spans="1:9" x14ac:dyDescent="0.25">
      <c r="B32" s="162"/>
      <c r="C32" s="162"/>
      <c r="D32" s="162"/>
      <c r="E32" s="162"/>
    </row>
    <row r="33" spans="1:17" ht="13" x14ac:dyDescent="0.3">
      <c r="A33" s="136" t="s">
        <v>102</v>
      </c>
    </row>
    <row r="35" spans="1:17" ht="19.5" customHeight="1" x14ac:dyDescent="0.3">
      <c r="B35" s="137" t="s">
        <v>95</v>
      </c>
      <c r="C35" s="135"/>
      <c r="F35" s="137" t="s">
        <v>96</v>
      </c>
      <c r="J35" s="137" t="s">
        <v>103</v>
      </c>
    </row>
    <row r="36" spans="1:17" ht="20.149999999999999" customHeight="1" x14ac:dyDescent="0.3">
      <c r="B36" s="136" t="s">
        <v>97</v>
      </c>
      <c r="C36" s="136" t="s">
        <v>98</v>
      </c>
      <c r="D36" s="136" t="s">
        <v>99</v>
      </c>
      <c r="E36" s="136"/>
      <c r="F36" s="136" t="s">
        <v>97</v>
      </c>
      <c r="G36" s="136" t="s">
        <v>98</v>
      </c>
      <c r="H36" s="136" t="s">
        <v>99</v>
      </c>
      <c r="J36" s="136" t="s">
        <v>97</v>
      </c>
      <c r="K36" s="136" t="s">
        <v>98</v>
      </c>
      <c r="L36" s="136" t="s">
        <v>99</v>
      </c>
    </row>
    <row r="37" spans="1:17" ht="25" customHeight="1" x14ac:dyDescent="0.25">
      <c r="A37" s="135" t="s">
        <v>105</v>
      </c>
      <c r="B37" s="138" t="s">
        <v>104</v>
      </c>
      <c r="C37" s="138" t="s">
        <v>134</v>
      </c>
      <c r="D37" s="138" t="s">
        <v>134</v>
      </c>
      <c r="E37" s="139"/>
      <c r="F37" s="138" t="s">
        <v>104</v>
      </c>
      <c r="G37" s="138" t="s">
        <v>138</v>
      </c>
      <c r="H37" s="138" t="s">
        <v>108</v>
      </c>
      <c r="J37" s="138" t="s">
        <v>104</v>
      </c>
      <c r="K37" s="138" t="s">
        <v>138</v>
      </c>
      <c r="L37" s="138" t="s">
        <v>108</v>
      </c>
    </row>
    <row r="38" spans="1:17" ht="25" customHeight="1" x14ac:dyDescent="0.25">
      <c r="A38" s="135"/>
      <c r="B38" s="140"/>
      <c r="C38" s="140"/>
      <c r="D38" s="140"/>
      <c r="E38" s="162"/>
      <c r="F38" s="140"/>
      <c r="G38" s="140"/>
      <c r="H38" s="140"/>
      <c r="J38" s="140"/>
      <c r="K38" s="140"/>
      <c r="L38" s="140"/>
    </row>
    <row r="39" spans="1:17" s="135" customFormat="1" ht="25" customHeight="1" x14ac:dyDescent="0.25">
      <c r="A39" s="135" t="s">
        <v>106</v>
      </c>
      <c r="B39" s="138" t="s">
        <v>104</v>
      </c>
      <c r="C39" s="138" t="s">
        <v>135</v>
      </c>
      <c r="D39" s="138" t="s">
        <v>135</v>
      </c>
      <c r="E39" s="139"/>
      <c r="F39" s="138" t="s">
        <v>104</v>
      </c>
      <c r="G39" s="138" t="s">
        <v>139</v>
      </c>
      <c r="H39" s="138" t="s">
        <v>108</v>
      </c>
      <c r="J39" s="138" t="s">
        <v>104</v>
      </c>
      <c r="K39" s="138" t="s">
        <v>139</v>
      </c>
      <c r="L39" s="138" t="s">
        <v>108</v>
      </c>
    </row>
    <row r="40" spans="1:17" ht="25" customHeight="1" x14ac:dyDescent="0.25">
      <c r="A40" s="135"/>
      <c r="B40" s="140"/>
      <c r="C40" s="140"/>
      <c r="D40" s="140"/>
      <c r="E40" s="162"/>
      <c r="F40" s="140"/>
      <c r="G40" s="140"/>
      <c r="H40" s="140"/>
      <c r="J40" s="140"/>
      <c r="K40" s="140"/>
      <c r="L40" s="140"/>
    </row>
    <row r="41" spans="1:17" ht="25" customHeight="1" x14ac:dyDescent="0.25">
      <c r="A41" s="135" t="s">
        <v>107</v>
      </c>
      <c r="B41" s="138" t="s">
        <v>104</v>
      </c>
      <c r="C41" s="138" t="s">
        <v>136</v>
      </c>
      <c r="D41" s="138" t="s">
        <v>136</v>
      </c>
      <c r="E41" s="139"/>
      <c r="F41" s="138" t="s">
        <v>104</v>
      </c>
      <c r="G41" s="138" t="s">
        <v>128</v>
      </c>
      <c r="H41" s="138" t="s">
        <v>108</v>
      </c>
      <c r="J41" s="138" t="s">
        <v>104</v>
      </c>
      <c r="K41" s="138" t="s">
        <v>128</v>
      </c>
      <c r="L41" s="138" t="s">
        <v>108</v>
      </c>
    </row>
    <row r="42" spans="1:17" ht="25" customHeight="1" x14ac:dyDescent="0.25">
      <c r="A42" s="135"/>
      <c r="B42" s="162"/>
      <c r="C42" s="162"/>
      <c r="D42" s="162"/>
      <c r="E42" s="162"/>
      <c r="F42" s="162"/>
      <c r="G42" s="162"/>
      <c r="H42" s="162"/>
      <c r="J42" s="162"/>
      <c r="K42" s="162"/>
      <c r="L42" s="162"/>
    </row>
    <row r="43" spans="1:17" ht="25" customHeight="1" x14ac:dyDescent="0.25">
      <c r="A43" s="135"/>
      <c r="B43" s="162"/>
      <c r="C43" s="162"/>
      <c r="D43" s="162"/>
      <c r="E43" s="162"/>
      <c r="F43" s="162"/>
      <c r="G43" s="162"/>
      <c r="H43" s="162"/>
      <c r="J43" s="162"/>
      <c r="K43" s="162"/>
      <c r="L43" s="162"/>
    </row>
    <row r="45" spans="1:17" ht="13" x14ac:dyDescent="0.3">
      <c r="A45" s="136" t="s">
        <v>109</v>
      </c>
    </row>
    <row r="47" spans="1:17" ht="20.149999999999999" customHeight="1" x14ac:dyDescent="0.3">
      <c r="B47" s="137" t="s">
        <v>95</v>
      </c>
      <c r="C47" s="135"/>
      <c r="F47" s="137" t="s">
        <v>96</v>
      </c>
      <c r="J47" s="137" t="s">
        <v>103</v>
      </c>
      <c r="K47" s="135"/>
      <c r="N47" s="137"/>
    </row>
    <row r="48" spans="1:17" ht="20.149999999999999" customHeight="1" x14ac:dyDescent="0.3">
      <c r="B48" s="136" t="s">
        <v>97</v>
      </c>
      <c r="C48" s="136" t="s">
        <v>98</v>
      </c>
      <c r="D48" s="136" t="s">
        <v>99</v>
      </c>
      <c r="E48" s="136" t="s">
        <v>101</v>
      </c>
      <c r="F48" s="136" t="s">
        <v>97</v>
      </c>
      <c r="G48" s="136" t="s">
        <v>98</v>
      </c>
      <c r="H48" s="136" t="s">
        <v>99</v>
      </c>
      <c r="I48" s="136" t="s">
        <v>101</v>
      </c>
      <c r="J48" s="136" t="s">
        <v>97</v>
      </c>
      <c r="K48" s="136" t="s">
        <v>98</v>
      </c>
      <c r="L48" s="136" t="s">
        <v>99</v>
      </c>
      <c r="M48" s="136" t="s">
        <v>101</v>
      </c>
      <c r="N48" s="136"/>
      <c r="O48" s="136"/>
      <c r="P48" s="136"/>
      <c r="Q48" s="136"/>
    </row>
    <row r="49" spans="1:13" ht="25" customHeight="1" x14ac:dyDescent="0.25">
      <c r="A49" s="135" t="s">
        <v>105</v>
      </c>
      <c r="B49" s="138" t="s">
        <v>104</v>
      </c>
      <c r="C49" s="138" t="s">
        <v>134</v>
      </c>
      <c r="D49" s="138" t="s">
        <v>134</v>
      </c>
      <c r="E49" s="138" t="s">
        <v>134</v>
      </c>
      <c r="F49" s="138" t="s">
        <v>104</v>
      </c>
      <c r="G49" s="138" t="s">
        <v>138</v>
      </c>
      <c r="H49" s="138" t="s">
        <v>108</v>
      </c>
      <c r="I49" s="138" t="s">
        <v>138</v>
      </c>
      <c r="J49" s="138" t="s">
        <v>104</v>
      </c>
      <c r="K49" s="138" t="s">
        <v>138</v>
      </c>
      <c r="L49" s="138" t="s">
        <v>108</v>
      </c>
      <c r="M49" s="138" t="s">
        <v>138</v>
      </c>
    </row>
    <row r="50" spans="1:13" ht="25" customHeight="1" x14ac:dyDescent="0.25">
      <c r="A50" s="135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</row>
    <row r="51" spans="1:13" s="135" customFormat="1" ht="25" customHeight="1" x14ac:dyDescent="0.25">
      <c r="A51" s="135" t="s">
        <v>106</v>
      </c>
      <c r="B51" s="138" t="s">
        <v>104</v>
      </c>
      <c r="C51" s="138" t="s">
        <v>135</v>
      </c>
      <c r="D51" s="138" t="s">
        <v>135</v>
      </c>
      <c r="E51" s="138" t="s">
        <v>135</v>
      </c>
      <c r="F51" s="138" t="s">
        <v>104</v>
      </c>
      <c r="G51" s="138" t="s">
        <v>139</v>
      </c>
      <c r="H51" s="138" t="s">
        <v>108</v>
      </c>
      <c r="I51" s="138" t="s">
        <v>139</v>
      </c>
      <c r="J51" s="138" t="s">
        <v>104</v>
      </c>
      <c r="K51" s="138" t="s">
        <v>139</v>
      </c>
      <c r="L51" s="138" t="s">
        <v>108</v>
      </c>
      <c r="M51" s="138" t="s">
        <v>139</v>
      </c>
    </row>
    <row r="52" spans="1:13" ht="25" customHeight="1" x14ac:dyDescent="0.25">
      <c r="A52" s="135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</row>
    <row r="53" spans="1:13" ht="25" customHeight="1" x14ac:dyDescent="0.25">
      <c r="A53" s="135" t="s">
        <v>107</v>
      </c>
      <c r="B53" s="138" t="s">
        <v>104</v>
      </c>
      <c r="C53" s="138" t="s">
        <v>136</v>
      </c>
      <c r="D53" s="138" t="s">
        <v>136</v>
      </c>
      <c r="E53" s="138" t="s">
        <v>136</v>
      </c>
      <c r="F53" s="138" t="s">
        <v>104</v>
      </c>
      <c r="G53" s="138" t="s">
        <v>128</v>
      </c>
      <c r="H53" s="138" t="s">
        <v>108</v>
      </c>
      <c r="I53" s="138" t="s">
        <v>128</v>
      </c>
      <c r="J53" s="138" t="s">
        <v>104</v>
      </c>
      <c r="K53" s="138" t="s">
        <v>128</v>
      </c>
      <c r="L53" s="138" t="s">
        <v>108</v>
      </c>
      <c r="M53" s="138" t="s">
        <v>128</v>
      </c>
    </row>
    <row r="56" spans="1:13" s="148" customFormat="1" ht="17.5" x14ac:dyDescent="0.35">
      <c r="A56" s="146" t="s">
        <v>125</v>
      </c>
    </row>
    <row r="57" spans="1:13" s="145" customFormat="1" ht="13" x14ac:dyDescent="0.3">
      <c r="A57" s="144"/>
      <c r="B57" s="144" t="s">
        <v>97</v>
      </c>
      <c r="C57" s="144" t="s">
        <v>98</v>
      </c>
      <c r="D57" s="144" t="s">
        <v>99</v>
      </c>
      <c r="E57" s="144" t="s">
        <v>101</v>
      </c>
      <c r="F57" s="144" t="s">
        <v>114</v>
      </c>
    </row>
    <row r="58" spans="1:13" s="143" customFormat="1" x14ac:dyDescent="0.25">
      <c r="A58" s="142" t="s">
        <v>115</v>
      </c>
      <c r="B58" s="142" t="s">
        <v>116</v>
      </c>
      <c r="C58" s="142" t="s">
        <v>117</v>
      </c>
      <c r="D58" s="142" t="s">
        <v>117</v>
      </c>
      <c r="E58" s="142" t="s">
        <v>118</v>
      </c>
      <c r="F58" s="142" t="s">
        <v>119</v>
      </c>
    </row>
    <row r="59" spans="1:13" s="143" customFormat="1" x14ac:dyDescent="0.25">
      <c r="A59" s="142" t="s">
        <v>120</v>
      </c>
      <c r="B59" s="142" t="s">
        <v>116</v>
      </c>
      <c r="C59" s="142" t="s">
        <v>121</v>
      </c>
      <c r="D59" s="142" t="s">
        <v>122</v>
      </c>
      <c r="E59" s="142" t="s">
        <v>123</v>
      </c>
      <c r="F59" s="142" t="s">
        <v>119</v>
      </c>
    </row>
    <row r="60" spans="1:13" s="143" customFormat="1" ht="25" x14ac:dyDescent="0.25">
      <c r="A60" s="142"/>
      <c r="B60" s="142"/>
      <c r="C60" s="142"/>
      <c r="D60" s="142"/>
      <c r="E60" s="142"/>
      <c r="F60" s="142" t="s">
        <v>124</v>
      </c>
    </row>
  </sheetData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&amp;R2019-06-01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showZeros="0" view="pageLayout" zoomScaleNormal="130" workbookViewId="0">
      <selection activeCell="J15" sqref="J15:J17"/>
    </sheetView>
  </sheetViews>
  <sheetFormatPr defaultColWidth="9.08984375" defaultRowHeight="13.5" x14ac:dyDescent="0.3"/>
  <cols>
    <col min="1" max="1" width="5.7265625" style="43" customWidth="1"/>
    <col min="2" max="2" width="10.26953125" style="43" customWidth="1"/>
    <col min="3" max="3" width="12.6328125" style="43" bestFit="1" customWidth="1"/>
    <col min="4" max="4" width="6.7265625" style="43" customWidth="1"/>
    <col min="5" max="5" width="7.26953125" style="43" customWidth="1"/>
    <col min="6" max="6" width="14.6328125" style="43" customWidth="1"/>
    <col min="7" max="7" width="7" style="43" customWidth="1"/>
    <col min="8" max="8" width="9.6328125" style="43" customWidth="1"/>
    <col min="9" max="9" width="5.7265625" style="43" customWidth="1"/>
    <col min="10" max="10" width="5.6328125" style="43" customWidth="1"/>
    <col min="11" max="11" width="7.08984375" style="43" customWidth="1"/>
    <col min="12" max="12" width="7.26953125" style="43" customWidth="1"/>
    <col min="13" max="16384" width="9.08984375" style="43"/>
  </cols>
  <sheetData>
    <row r="1" spans="1:11" s="1" customFormat="1" ht="6" customHeight="1" thickBot="1" x14ac:dyDescent="0.35"/>
    <row r="2" spans="1:11" s="1" customFormat="1" ht="22.5" customHeight="1" thickBot="1" x14ac:dyDescent="0.35">
      <c r="A2" s="7" t="s">
        <v>10</v>
      </c>
      <c r="G2" s="9"/>
      <c r="H2" s="13" t="s">
        <v>88</v>
      </c>
      <c r="I2" s="10"/>
      <c r="J2" s="11"/>
      <c r="K2" s="11"/>
    </row>
    <row r="3" spans="1:11" s="1" customFormat="1" ht="24" customHeight="1" thickBot="1" x14ac:dyDescent="0.35">
      <c r="A3" s="4" t="s">
        <v>11</v>
      </c>
      <c r="G3" s="9"/>
      <c r="H3" s="13" t="s">
        <v>89</v>
      </c>
      <c r="I3" s="10"/>
      <c r="J3" s="11"/>
      <c r="K3" s="11"/>
    </row>
    <row r="4" spans="1:11" s="1" customFormat="1" ht="24" customHeight="1" thickBot="1" x14ac:dyDescent="0.35">
      <c r="A4" s="2" t="s">
        <v>13</v>
      </c>
      <c r="B4" s="2"/>
      <c r="C4" s="150"/>
      <c r="D4" s="8"/>
      <c r="E4" s="8"/>
      <c r="G4" s="9"/>
      <c r="H4" s="13" t="s">
        <v>82</v>
      </c>
      <c r="I4" s="10"/>
      <c r="J4" s="11"/>
      <c r="K4" s="11"/>
    </row>
    <row r="5" spans="1:11" s="1" customFormat="1" ht="24" customHeight="1" thickBot="1" x14ac:dyDescent="0.35">
      <c r="A5" s="12" t="s">
        <v>14</v>
      </c>
      <c r="B5" s="12"/>
      <c r="C5" s="174"/>
      <c r="D5" s="174"/>
      <c r="E5" s="174"/>
      <c r="G5" s="9"/>
      <c r="H5" s="13" t="s">
        <v>12</v>
      </c>
      <c r="I5" s="128"/>
      <c r="J5" s="11"/>
      <c r="K5" s="11"/>
    </row>
    <row r="6" spans="1:11" s="1" customFormat="1" ht="12.75" customHeight="1" x14ac:dyDescent="0.3">
      <c r="A6" s="12" t="s">
        <v>15</v>
      </c>
      <c r="B6" s="12"/>
      <c r="C6" s="174"/>
      <c r="D6" s="174"/>
      <c r="E6" s="174"/>
      <c r="G6" s="1" t="s">
        <v>17</v>
      </c>
    </row>
    <row r="7" spans="1:11" s="1" customFormat="1" ht="17.149999999999999" customHeight="1" x14ac:dyDescent="0.3">
      <c r="A7" s="12" t="s">
        <v>87</v>
      </c>
      <c r="B7" s="12"/>
      <c r="C7" s="92"/>
      <c r="D7" s="92"/>
      <c r="E7" s="92"/>
      <c r="G7" s="2" t="s">
        <v>0</v>
      </c>
      <c r="H7" s="177"/>
      <c r="I7" s="178"/>
      <c r="J7" s="178"/>
      <c r="K7" s="179"/>
    </row>
    <row r="8" spans="1:11" s="1" customFormat="1" ht="17.149999999999999" customHeight="1" x14ac:dyDescent="0.3">
      <c r="A8" s="2" t="s">
        <v>6</v>
      </c>
      <c r="B8" s="2"/>
      <c r="C8" s="177"/>
      <c r="D8" s="177"/>
      <c r="E8" s="177"/>
      <c r="G8" s="12" t="s">
        <v>1</v>
      </c>
      <c r="H8" s="174"/>
      <c r="I8" s="175"/>
      <c r="J8" s="175"/>
      <c r="K8" s="176"/>
    </row>
    <row r="9" spans="1:11" s="1" customFormat="1" ht="17.149999999999999" customHeight="1" x14ac:dyDescent="0.3">
      <c r="A9" s="12" t="s">
        <v>16</v>
      </c>
      <c r="B9" s="12"/>
      <c r="C9" s="174"/>
      <c r="D9" s="174"/>
      <c r="E9" s="174"/>
      <c r="G9" s="12" t="s">
        <v>2</v>
      </c>
      <c r="H9" s="174"/>
      <c r="I9" s="175"/>
      <c r="J9" s="175"/>
      <c r="K9" s="176"/>
    </row>
    <row r="10" spans="1:11" s="1" customFormat="1" ht="17.149999999999999" customHeight="1" x14ac:dyDescent="0.3">
      <c r="A10" s="12" t="s">
        <v>85</v>
      </c>
      <c r="B10" s="12"/>
      <c r="C10" s="174"/>
      <c r="D10" s="174"/>
      <c r="E10" s="174"/>
      <c r="G10" s="12" t="s">
        <v>3</v>
      </c>
      <c r="H10" s="174"/>
      <c r="I10" s="175"/>
      <c r="J10" s="175"/>
      <c r="K10" s="176"/>
    </row>
    <row r="11" spans="1:11" s="1" customFormat="1" ht="17.149999999999999" customHeight="1" x14ac:dyDescent="0.3">
      <c r="G11" s="12" t="s">
        <v>4</v>
      </c>
      <c r="H11" s="174"/>
      <c r="I11" s="175"/>
      <c r="J11" s="175"/>
      <c r="K11" s="176"/>
    </row>
    <row r="12" spans="1:11" s="1" customFormat="1" ht="17.149999999999999" customHeight="1" x14ac:dyDescent="0.3">
      <c r="C12" s="14"/>
      <c r="G12" s="12" t="s">
        <v>5</v>
      </c>
      <c r="H12" s="174"/>
      <c r="I12" s="175"/>
      <c r="J12" s="175"/>
      <c r="K12" s="176"/>
    </row>
    <row r="13" spans="1:11" s="1" customFormat="1" ht="6" customHeight="1" x14ac:dyDescent="0.3">
      <c r="C13" s="14"/>
      <c r="G13" s="3"/>
      <c r="H13" s="42"/>
      <c r="I13" s="3"/>
      <c r="J13" s="3"/>
      <c r="K13" s="3"/>
    </row>
    <row r="14" spans="1:11" ht="15" customHeight="1" thickBot="1" x14ac:dyDescent="0.35">
      <c r="G14" s="219" t="s">
        <v>54</v>
      </c>
      <c r="H14" s="220"/>
      <c r="I14" s="221" t="s">
        <v>86</v>
      </c>
      <c r="J14" s="222"/>
      <c r="K14" s="223"/>
    </row>
    <row r="15" spans="1:11" ht="34.5" customHeight="1" x14ac:dyDescent="0.3">
      <c r="A15" s="196" t="s">
        <v>18</v>
      </c>
      <c r="B15" s="210" t="s">
        <v>20</v>
      </c>
      <c r="C15" s="210" t="s">
        <v>19</v>
      </c>
      <c r="D15" s="210"/>
      <c r="E15" s="213" t="s">
        <v>47</v>
      </c>
      <c r="F15" s="214"/>
      <c r="G15" s="44"/>
      <c r="H15" s="45"/>
      <c r="I15" s="202" t="s">
        <v>7</v>
      </c>
      <c r="J15" s="228"/>
      <c r="K15" s="226">
        <f>ROUND(J15*0.3,3)</f>
        <v>0</v>
      </c>
    </row>
    <row r="16" spans="1:11" ht="31.5" customHeight="1" x14ac:dyDescent="0.3">
      <c r="A16" s="197"/>
      <c r="B16" s="204"/>
      <c r="C16" s="204" t="s">
        <v>22</v>
      </c>
      <c r="D16" s="204"/>
      <c r="E16" s="205" t="s">
        <v>46</v>
      </c>
      <c r="F16" s="206"/>
      <c r="G16" s="46"/>
      <c r="H16" s="47"/>
      <c r="I16" s="203"/>
      <c r="J16" s="229"/>
      <c r="K16" s="227"/>
    </row>
    <row r="17" spans="1:11" ht="38.25" customHeight="1" x14ac:dyDescent="0.3">
      <c r="A17" s="197"/>
      <c r="B17" s="204"/>
      <c r="C17" s="204" t="s">
        <v>21</v>
      </c>
      <c r="D17" s="204"/>
      <c r="E17" s="205" t="s">
        <v>45</v>
      </c>
      <c r="F17" s="206"/>
      <c r="G17" s="48"/>
      <c r="H17" s="49"/>
      <c r="I17" s="203"/>
      <c r="J17" s="229"/>
      <c r="K17" s="227"/>
    </row>
    <row r="18" spans="1:11" ht="30" customHeight="1" x14ac:dyDescent="0.3">
      <c r="A18" s="197"/>
      <c r="B18" s="215" t="s">
        <v>33</v>
      </c>
      <c r="C18" s="204" t="s">
        <v>25</v>
      </c>
      <c r="D18" s="204"/>
      <c r="E18" s="205" t="s">
        <v>44</v>
      </c>
      <c r="F18" s="206"/>
      <c r="G18" s="50"/>
      <c r="H18" s="51"/>
      <c r="I18" s="203" t="s">
        <v>8</v>
      </c>
      <c r="J18" s="229"/>
      <c r="K18" s="227">
        <f>ROUND(J18*0.25,3)</f>
        <v>0</v>
      </c>
    </row>
    <row r="19" spans="1:11" ht="29.25" customHeight="1" x14ac:dyDescent="0.3">
      <c r="A19" s="197"/>
      <c r="B19" s="216"/>
      <c r="C19" s="204" t="s">
        <v>23</v>
      </c>
      <c r="D19" s="204"/>
      <c r="E19" s="205" t="s">
        <v>42</v>
      </c>
      <c r="F19" s="206"/>
      <c r="G19" s="46"/>
      <c r="H19" s="47"/>
      <c r="I19" s="203"/>
      <c r="J19" s="229"/>
      <c r="K19" s="227"/>
    </row>
    <row r="20" spans="1:11" ht="30" customHeight="1" thickBot="1" x14ac:dyDescent="0.35">
      <c r="A20" s="198"/>
      <c r="B20" s="217"/>
      <c r="C20" s="207" t="s">
        <v>24</v>
      </c>
      <c r="D20" s="207"/>
      <c r="E20" s="208" t="s">
        <v>43</v>
      </c>
      <c r="F20" s="209"/>
      <c r="G20" s="52"/>
      <c r="H20" s="53"/>
      <c r="I20" s="218"/>
      <c r="J20" s="230"/>
      <c r="K20" s="231"/>
    </row>
    <row r="21" spans="1:11" ht="47.25" customHeight="1" x14ac:dyDescent="0.3">
      <c r="A21" s="196" t="s">
        <v>34</v>
      </c>
      <c r="B21" s="199" t="s">
        <v>41</v>
      </c>
      <c r="C21" s="210" t="s">
        <v>41</v>
      </c>
      <c r="D21" s="210"/>
      <c r="E21" s="211" t="s">
        <v>40</v>
      </c>
      <c r="F21" s="212"/>
      <c r="G21" s="54"/>
      <c r="H21" s="55"/>
      <c r="I21" s="202" t="s">
        <v>90</v>
      </c>
      <c r="J21" s="228"/>
      <c r="K21" s="226">
        <f>ROUND(J21*0.25,3)</f>
        <v>0</v>
      </c>
    </row>
    <row r="22" spans="1:11" ht="18.75" customHeight="1" x14ac:dyDescent="0.3">
      <c r="A22" s="197"/>
      <c r="B22" s="200"/>
      <c r="C22" s="204" t="s">
        <v>26</v>
      </c>
      <c r="D22" s="204"/>
      <c r="E22" s="205" t="s">
        <v>39</v>
      </c>
      <c r="F22" s="206"/>
      <c r="G22" s="46"/>
      <c r="H22" s="47"/>
      <c r="I22" s="203"/>
      <c r="J22" s="229"/>
      <c r="K22" s="227"/>
    </row>
    <row r="23" spans="1:11" ht="21" customHeight="1" x14ac:dyDescent="0.3">
      <c r="A23" s="197"/>
      <c r="B23" s="201"/>
      <c r="C23" s="204" t="s">
        <v>27</v>
      </c>
      <c r="D23" s="204"/>
      <c r="E23" s="205" t="s">
        <v>38</v>
      </c>
      <c r="F23" s="206"/>
      <c r="G23" s="48"/>
      <c r="H23" s="49"/>
      <c r="I23" s="203"/>
      <c r="J23" s="229"/>
      <c r="K23" s="227"/>
    </row>
    <row r="24" spans="1:11" ht="57" customHeight="1" thickBot="1" x14ac:dyDescent="0.35">
      <c r="A24" s="198"/>
      <c r="B24" s="56" t="s">
        <v>28</v>
      </c>
      <c r="C24" s="207"/>
      <c r="D24" s="207"/>
      <c r="E24" s="208" t="s">
        <v>37</v>
      </c>
      <c r="F24" s="209"/>
      <c r="G24" s="57"/>
      <c r="H24" s="58"/>
      <c r="I24" s="59" t="s">
        <v>9</v>
      </c>
      <c r="J24" s="151"/>
      <c r="K24" s="149">
        <f>ROUND(J24*0.15,3)</f>
        <v>0</v>
      </c>
    </row>
    <row r="25" spans="1:11" ht="54" customHeight="1" thickBot="1" x14ac:dyDescent="0.35">
      <c r="A25" s="60" t="s">
        <v>35</v>
      </c>
      <c r="B25" s="133" t="s">
        <v>92</v>
      </c>
      <c r="C25" s="232" t="s">
        <v>29</v>
      </c>
      <c r="D25" s="232"/>
      <c r="E25" s="194" t="s">
        <v>36</v>
      </c>
      <c r="F25" s="195"/>
      <c r="G25" s="61"/>
      <c r="H25" s="62"/>
      <c r="I25" s="63" t="s">
        <v>91</v>
      </c>
      <c r="J25" s="152"/>
      <c r="K25" s="64">
        <f>ROUND(J25*0.05,3)</f>
        <v>0</v>
      </c>
    </row>
    <row r="26" spans="1:11" ht="9.75" customHeight="1" thickBot="1" x14ac:dyDescent="0.3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</row>
    <row r="27" spans="1:11" ht="16.399999999999999" customHeight="1" thickBot="1" x14ac:dyDescent="0.35">
      <c r="A27" s="65"/>
      <c r="B27" s="65"/>
      <c r="C27" s="65"/>
      <c r="D27" s="65"/>
      <c r="E27" s="65"/>
      <c r="F27" s="65"/>
      <c r="G27" s="65"/>
      <c r="H27" s="66" t="s">
        <v>11</v>
      </c>
      <c r="I27" s="67"/>
      <c r="J27" s="224">
        <f>SUM(K15:K25)</f>
        <v>0</v>
      </c>
      <c r="K27" s="225"/>
    </row>
    <row r="31" spans="1:11" x14ac:dyDescent="0.3">
      <c r="A31" s="5" t="s">
        <v>31</v>
      </c>
      <c r="B31" s="68"/>
      <c r="C31" s="68"/>
      <c r="D31" s="68"/>
      <c r="E31" s="65"/>
      <c r="F31" s="65"/>
      <c r="G31" s="5" t="s">
        <v>32</v>
      </c>
      <c r="H31" s="5"/>
      <c r="I31" s="5"/>
      <c r="J31" s="5"/>
      <c r="K31" s="5"/>
    </row>
  </sheetData>
  <mergeCells count="50">
    <mergeCell ref="C5:E5"/>
    <mergeCell ref="H7:K7"/>
    <mergeCell ref="C6:E6"/>
    <mergeCell ref="J27:K27"/>
    <mergeCell ref="H11:K11"/>
    <mergeCell ref="K15:K17"/>
    <mergeCell ref="C16:D16"/>
    <mergeCell ref="E16:F16"/>
    <mergeCell ref="J15:J17"/>
    <mergeCell ref="J18:J20"/>
    <mergeCell ref="K18:K20"/>
    <mergeCell ref="K21:K23"/>
    <mergeCell ref="C22:D22"/>
    <mergeCell ref="E22:F22"/>
    <mergeCell ref="J21:J23"/>
    <mergeCell ref="C25:D25"/>
    <mergeCell ref="C8:E8"/>
    <mergeCell ref="H8:K8"/>
    <mergeCell ref="C9:E9"/>
    <mergeCell ref="H9:K9"/>
    <mergeCell ref="G14:H14"/>
    <mergeCell ref="I14:K14"/>
    <mergeCell ref="H12:K12"/>
    <mergeCell ref="C10:E10"/>
    <mergeCell ref="H10:K10"/>
    <mergeCell ref="A15:A20"/>
    <mergeCell ref="B15:B17"/>
    <mergeCell ref="C15:D15"/>
    <mergeCell ref="E15:F15"/>
    <mergeCell ref="I15:I17"/>
    <mergeCell ref="C17:D17"/>
    <mergeCell ref="E17:F17"/>
    <mergeCell ref="B18:B20"/>
    <mergeCell ref="C18:D18"/>
    <mergeCell ref="E18:F18"/>
    <mergeCell ref="I18:I20"/>
    <mergeCell ref="C19:D19"/>
    <mergeCell ref="E19:F19"/>
    <mergeCell ref="C20:D20"/>
    <mergeCell ref="E20:F20"/>
    <mergeCell ref="E25:F25"/>
    <mergeCell ref="A21:A24"/>
    <mergeCell ref="B21:B23"/>
    <mergeCell ref="I21:I23"/>
    <mergeCell ref="C23:D23"/>
    <mergeCell ref="E23:F23"/>
    <mergeCell ref="C24:D24"/>
    <mergeCell ref="E24:F24"/>
    <mergeCell ref="C21:D21"/>
    <mergeCell ref="E21:F21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&amp;R2019-06-01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4"/>
  <sheetViews>
    <sheetView showZeros="0" tabSelected="1" view="pageLayout" zoomScaleNormal="100" workbookViewId="0">
      <selection activeCell="F15" sqref="F15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11" width="7.26953125" style="1" customWidth="1"/>
    <col min="12" max="12" width="10.6328125" style="1" customWidth="1"/>
    <col min="13" max="13" width="7.26953125" style="1" customWidth="1"/>
    <col min="14" max="14" width="9.08984375" style="1"/>
    <col min="15" max="15" width="14.08984375" style="1" bestFit="1" customWidth="1"/>
    <col min="16" max="16384" width="9.08984375" style="1"/>
  </cols>
  <sheetData>
    <row r="1" spans="1:22" ht="6" customHeight="1" thickBot="1" x14ac:dyDescent="0.35"/>
    <row r="2" spans="1:22" ht="24" customHeight="1" thickBot="1" x14ac:dyDescent="0.35">
      <c r="A2" s="7" t="s">
        <v>112</v>
      </c>
      <c r="K2" s="1" t="s">
        <v>17</v>
      </c>
      <c r="R2" s="9"/>
      <c r="S2" s="13" t="s">
        <v>88</v>
      </c>
      <c r="T2" s="10"/>
      <c r="U2" s="11"/>
      <c r="V2" s="11"/>
    </row>
    <row r="3" spans="1:22" ht="24" customHeight="1" thickBot="1" x14ac:dyDescent="0.35">
      <c r="A3" s="4" t="s">
        <v>149</v>
      </c>
      <c r="J3" s="165" t="str">
        <f>IF(L3&lt;&gt;0,J2+1,"0")</f>
        <v>0</v>
      </c>
      <c r="K3" s="2" t="s">
        <v>0</v>
      </c>
      <c r="L3" s="177"/>
      <c r="M3" s="177"/>
      <c r="N3" s="177"/>
      <c r="O3" s="233"/>
      <c r="R3" s="9"/>
      <c r="S3" s="13" t="s">
        <v>89</v>
      </c>
      <c r="T3" s="10"/>
      <c r="U3" s="11"/>
      <c r="V3" s="11"/>
    </row>
    <row r="4" spans="1:22" ht="24" customHeight="1" thickBot="1" x14ac:dyDescent="0.35">
      <c r="A4" s="2" t="s">
        <v>13</v>
      </c>
      <c r="B4" s="2"/>
      <c r="C4" s="150"/>
      <c r="D4" s="8"/>
      <c r="E4" s="8"/>
      <c r="F4" s="8"/>
      <c r="J4" s="165" t="str">
        <f t="shared" ref="J4:J11" si="0">IF(L4&lt;&gt;0,J3+1,"0")</f>
        <v>0</v>
      </c>
      <c r="K4" s="12" t="s">
        <v>1</v>
      </c>
      <c r="L4" s="174"/>
      <c r="M4" s="174"/>
      <c r="N4" s="174"/>
      <c r="O4" s="234"/>
      <c r="R4" s="9"/>
      <c r="S4" s="13" t="s">
        <v>82</v>
      </c>
      <c r="T4" s="10"/>
      <c r="U4" s="11"/>
      <c r="V4" s="161"/>
    </row>
    <row r="5" spans="1:22" ht="24" customHeight="1" thickBot="1" x14ac:dyDescent="0.35">
      <c r="A5" s="12" t="s">
        <v>14</v>
      </c>
      <c r="B5" s="12"/>
      <c r="C5" s="174"/>
      <c r="D5" s="174"/>
      <c r="E5" s="174"/>
      <c r="F5" s="174"/>
      <c r="J5" s="165" t="str">
        <f t="shared" si="0"/>
        <v>0</v>
      </c>
      <c r="K5" s="12" t="s">
        <v>2</v>
      </c>
      <c r="L5" s="174"/>
      <c r="M5" s="175"/>
      <c r="N5" s="175"/>
      <c r="O5" s="176"/>
      <c r="R5" s="9"/>
      <c r="S5" s="13" t="s">
        <v>12</v>
      </c>
      <c r="T5" s="128"/>
      <c r="U5" s="11"/>
      <c r="V5" s="11"/>
    </row>
    <row r="6" spans="1:22" ht="19.5" customHeight="1" x14ac:dyDescent="0.3">
      <c r="A6" s="12" t="s">
        <v>15</v>
      </c>
      <c r="B6" s="12"/>
      <c r="C6" s="174"/>
      <c r="D6" s="174"/>
      <c r="E6" s="174"/>
      <c r="F6" s="174"/>
      <c r="J6" s="165" t="str">
        <f t="shared" si="0"/>
        <v>0</v>
      </c>
      <c r="K6" s="12" t="s">
        <v>3</v>
      </c>
      <c r="L6" s="174"/>
      <c r="M6" s="175"/>
      <c r="N6" s="175"/>
      <c r="O6" s="176"/>
    </row>
    <row r="7" spans="1:22" ht="17.149999999999999" customHeight="1" x14ac:dyDescent="0.3">
      <c r="A7" s="12" t="s">
        <v>87</v>
      </c>
      <c r="B7" s="12"/>
      <c r="C7" s="92"/>
      <c r="D7" s="92"/>
      <c r="E7" s="92"/>
      <c r="F7" s="92"/>
      <c r="J7" s="165" t="str">
        <f t="shared" si="0"/>
        <v>0</v>
      </c>
      <c r="K7" s="12" t="s">
        <v>4</v>
      </c>
      <c r="L7" s="174"/>
      <c r="M7" s="175"/>
      <c r="N7" s="175"/>
      <c r="O7" s="176"/>
    </row>
    <row r="8" spans="1:22" ht="17.149999999999999" customHeight="1" x14ac:dyDescent="0.3">
      <c r="A8" s="2" t="s">
        <v>6</v>
      </c>
      <c r="B8" s="2"/>
      <c r="C8" s="177"/>
      <c r="D8" s="177"/>
      <c r="E8" s="177"/>
      <c r="F8" s="177"/>
      <c r="J8" s="165" t="str">
        <f t="shared" si="0"/>
        <v>0</v>
      </c>
      <c r="K8" s="12" t="s">
        <v>5</v>
      </c>
      <c r="L8" s="174"/>
      <c r="M8" s="175"/>
      <c r="N8" s="175"/>
      <c r="O8" s="176"/>
    </row>
    <row r="9" spans="1:22" ht="17.149999999999999" customHeight="1" x14ac:dyDescent="0.3">
      <c r="A9" s="12" t="s">
        <v>16</v>
      </c>
      <c r="B9" s="12"/>
      <c r="C9" s="174"/>
      <c r="D9" s="174"/>
      <c r="E9" s="174"/>
      <c r="F9" s="174"/>
      <c r="J9" s="165" t="str">
        <f t="shared" si="0"/>
        <v>0</v>
      </c>
      <c r="K9" s="12" t="s">
        <v>142</v>
      </c>
      <c r="L9" s="174"/>
      <c r="M9" s="175"/>
      <c r="N9" s="175"/>
      <c r="O9" s="176"/>
    </row>
    <row r="10" spans="1:22" ht="17.149999999999999" customHeight="1" x14ac:dyDescent="0.3">
      <c r="A10" s="12" t="s">
        <v>85</v>
      </c>
      <c r="B10" s="12"/>
      <c r="C10" s="174"/>
      <c r="D10" s="174"/>
      <c r="E10" s="174"/>
      <c r="F10" s="174"/>
      <c r="J10" s="165" t="str">
        <f t="shared" si="0"/>
        <v>0</v>
      </c>
      <c r="K10" s="12" t="s">
        <v>143</v>
      </c>
      <c r="L10" s="174"/>
      <c r="M10" s="175"/>
      <c r="N10" s="175"/>
      <c r="O10" s="176"/>
    </row>
    <row r="11" spans="1:22" ht="17.149999999999999" customHeight="1" x14ac:dyDescent="0.3">
      <c r="J11" s="165" t="str">
        <f t="shared" si="0"/>
        <v>0</v>
      </c>
      <c r="K11" s="12" t="s">
        <v>144</v>
      </c>
      <c r="L11" s="174"/>
      <c r="M11" s="175"/>
      <c r="N11" s="175"/>
      <c r="O11" s="176"/>
    </row>
    <row r="12" spans="1:22" ht="17.149999999999999" customHeight="1" x14ac:dyDescent="0.3"/>
    <row r="13" spans="1:22" ht="21.75" customHeight="1" x14ac:dyDescent="0.3">
      <c r="A13" s="15"/>
      <c r="B13" s="16"/>
    </row>
    <row r="14" spans="1:22" ht="15.75" customHeight="1" x14ac:dyDescent="0.3">
      <c r="F14" s="17">
        <v>1</v>
      </c>
      <c r="G14" s="17">
        <v>2</v>
      </c>
      <c r="H14" s="17">
        <v>3</v>
      </c>
      <c r="I14" s="17">
        <v>4</v>
      </c>
      <c r="J14" s="17">
        <v>5</v>
      </c>
      <c r="K14" s="17">
        <v>6</v>
      </c>
      <c r="L14" s="17">
        <v>7</v>
      </c>
      <c r="M14" s="17">
        <v>8</v>
      </c>
      <c r="N14" s="17">
        <v>9</v>
      </c>
      <c r="O14" s="17" t="s">
        <v>30</v>
      </c>
    </row>
    <row r="15" spans="1:22" ht="20.149999999999999" customHeight="1" x14ac:dyDescent="0.3">
      <c r="A15" s="237"/>
      <c r="B15" s="238" t="s">
        <v>49</v>
      </c>
      <c r="C15" s="239"/>
      <c r="D15" s="239"/>
      <c r="E15" s="18"/>
      <c r="F15" s="153"/>
      <c r="G15" s="153"/>
      <c r="H15" s="153"/>
      <c r="I15" s="153"/>
      <c r="J15" s="153"/>
      <c r="K15" s="153"/>
      <c r="L15" s="153"/>
      <c r="M15" s="153"/>
      <c r="N15" s="153">
        <v>0</v>
      </c>
      <c r="O15" s="19">
        <f>SUM(F15:N15)</f>
        <v>0</v>
      </c>
    </row>
    <row r="16" spans="1:22" ht="20.149999999999999" customHeight="1" x14ac:dyDescent="0.3">
      <c r="A16" s="237"/>
      <c r="B16" s="240" t="s">
        <v>51</v>
      </c>
      <c r="C16" s="239"/>
      <c r="D16" s="239"/>
      <c r="E16" s="18"/>
      <c r="F16" s="153"/>
      <c r="G16" s="153"/>
      <c r="H16" s="153"/>
      <c r="I16" s="153"/>
      <c r="J16" s="153"/>
      <c r="K16" s="153"/>
      <c r="L16" s="153"/>
      <c r="M16" s="153"/>
      <c r="N16" s="153">
        <v>0</v>
      </c>
      <c r="O16" s="19">
        <f t="shared" ref="O16:O21" si="1">SUM(F16:N16)</f>
        <v>0</v>
      </c>
    </row>
    <row r="17" spans="1:15" ht="20.149999999999999" customHeight="1" x14ac:dyDescent="0.3">
      <c r="B17" s="240" t="s">
        <v>59</v>
      </c>
      <c r="C17" s="239"/>
      <c r="D17" s="239"/>
      <c r="E17" s="18"/>
      <c r="F17" s="153"/>
      <c r="G17" s="153"/>
      <c r="H17" s="153"/>
      <c r="I17" s="153"/>
      <c r="J17" s="153"/>
      <c r="K17" s="153"/>
      <c r="L17" s="153"/>
      <c r="M17" s="153"/>
      <c r="N17" s="153">
        <v>0</v>
      </c>
      <c r="O17" s="19">
        <f t="shared" si="1"/>
        <v>0</v>
      </c>
    </row>
    <row r="18" spans="1:15" ht="20.149999999999999" customHeight="1" x14ac:dyDescent="0.3">
      <c r="B18" s="235" t="s">
        <v>60</v>
      </c>
      <c r="C18" s="236"/>
      <c r="D18" s="236"/>
      <c r="E18" s="18"/>
      <c r="F18" s="153"/>
      <c r="G18" s="153"/>
      <c r="H18" s="153"/>
      <c r="I18" s="153"/>
      <c r="J18" s="153"/>
      <c r="K18" s="153"/>
      <c r="L18" s="153"/>
      <c r="M18" s="153"/>
      <c r="N18" s="153">
        <v>0</v>
      </c>
      <c r="O18" s="19">
        <f t="shared" si="1"/>
        <v>0</v>
      </c>
    </row>
    <row r="19" spans="1:15" ht="20.149999999999999" customHeight="1" x14ac:dyDescent="0.3">
      <c r="B19" s="240" t="s">
        <v>61</v>
      </c>
      <c r="C19" s="239"/>
      <c r="D19" s="239"/>
      <c r="E19" s="20"/>
      <c r="F19" s="153"/>
      <c r="G19" s="153"/>
      <c r="H19" s="153"/>
      <c r="I19" s="153"/>
      <c r="J19" s="153"/>
      <c r="K19" s="153"/>
      <c r="L19" s="153"/>
      <c r="M19" s="153"/>
      <c r="N19" s="153">
        <v>0</v>
      </c>
      <c r="O19" s="19">
        <f t="shared" si="1"/>
        <v>0</v>
      </c>
    </row>
    <row r="20" spans="1:15" ht="20.149999999999999" customHeight="1" x14ac:dyDescent="0.3">
      <c r="B20" s="69" t="s">
        <v>52</v>
      </c>
      <c r="C20" s="70"/>
      <c r="D20" s="70"/>
      <c r="E20" s="18"/>
      <c r="F20" s="153"/>
      <c r="G20" s="153"/>
      <c r="H20" s="153"/>
      <c r="I20" s="153"/>
      <c r="J20" s="153"/>
      <c r="K20" s="153"/>
      <c r="L20" s="153"/>
      <c r="M20" s="153"/>
      <c r="N20" s="153">
        <v>0</v>
      </c>
      <c r="O20" s="19">
        <f t="shared" si="1"/>
        <v>0</v>
      </c>
    </row>
    <row r="21" spans="1:15" ht="28.5" customHeight="1" x14ac:dyDescent="0.3">
      <c r="B21" s="254" t="s">
        <v>150</v>
      </c>
      <c r="C21" s="255"/>
      <c r="D21" s="255"/>
      <c r="E21" s="256"/>
      <c r="F21" s="153"/>
      <c r="G21" s="153"/>
      <c r="H21" s="153"/>
      <c r="I21" s="153"/>
      <c r="J21" s="153"/>
      <c r="K21" s="153"/>
      <c r="L21" s="153"/>
      <c r="M21" s="153"/>
      <c r="N21" s="153">
        <v>0</v>
      </c>
      <c r="O21" s="19">
        <f t="shared" si="1"/>
        <v>0</v>
      </c>
    </row>
    <row r="22" spans="1:15" ht="14.25" customHeight="1" x14ac:dyDescent="0.3">
      <c r="M22" s="1" t="s">
        <v>145</v>
      </c>
      <c r="O22" s="1">
        <f>MAX(J3:J11)</f>
        <v>0</v>
      </c>
    </row>
    <row r="23" spans="1:15" ht="15.75" customHeight="1" thickBot="1" x14ac:dyDescent="0.35">
      <c r="B23" s="22" t="s">
        <v>54</v>
      </c>
      <c r="C23" s="3"/>
      <c r="D23" s="3"/>
      <c r="E23" s="3"/>
      <c r="F23" s="3"/>
      <c r="G23" s="3"/>
      <c r="H23" s="23"/>
      <c r="N23" s="24" t="s">
        <v>55</v>
      </c>
      <c r="O23" s="19">
        <f>SUM(O15:O21)</f>
        <v>0</v>
      </c>
    </row>
    <row r="24" spans="1:15" ht="18" customHeight="1" thickBot="1" x14ac:dyDescent="0.35">
      <c r="B24" s="25"/>
      <c r="H24" s="26"/>
      <c r="M24" s="24"/>
      <c r="N24" s="24" t="s">
        <v>146</v>
      </c>
      <c r="O24" s="27">
        <f>IFERROR(ROUND(O23/O22,3),0)</f>
        <v>0</v>
      </c>
    </row>
    <row r="25" spans="1:15" x14ac:dyDescent="0.3">
      <c r="B25" s="25"/>
      <c r="H25" s="26"/>
      <c r="M25" s="29"/>
      <c r="O25" s="30"/>
    </row>
    <row r="26" spans="1:15" x14ac:dyDescent="0.3">
      <c r="B26" s="31"/>
      <c r="C26" s="2"/>
      <c r="D26" s="2"/>
      <c r="E26" s="2"/>
      <c r="F26" s="2"/>
      <c r="G26" s="2"/>
      <c r="H26" s="32"/>
      <c r="L26" s="28"/>
      <c r="N26" s="24" t="s">
        <v>167</v>
      </c>
      <c r="O26" s="29"/>
    </row>
    <row r="27" spans="1:15" ht="10.5" customHeight="1" thickBot="1" x14ac:dyDescent="0.35"/>
    <row r="28" spans="1:15" ht="23.25" customHeight="1" thickBot="1" x14ac:dyDescent="0.35">
      <c r="F28" s="38"/>
      <c r="H28" s="33"/>
      <c r="L28" s="71" t="s">
        <v>63</v>
      </c>
      <c r="M28" s="72"/>
      <c r="N28" s="73"/>
      <c r="O28" s="37">
        <f>ROUND(+O24/7,3)</f>
        <v>0</v>
      </c>
    </row>
    <row r="29" spans="1:15" ht="18" customHeight="1" x14ac:dyDescent="0.3">
      <c r="F29" s="38"/>
      <c r="H29" s="33"/>
      <c r="I29" s="33"/>
      <c r="J29" s="39"/>
      <c r="K29" s="24"/>
    </row>
    <row r="30" spans="1:15" ht="18" customHeight="1" x14ac:dyDescent="0.3">
      <c r="F30" s="38"/>
      <c r="H30" s="33"/>
      <c r="I30" s="33"/>
      <c r="J30" s="39"/>
      <c r="K30" s="24"/>
      <c r="L30" s="6"/>
    </row>
    <row r="31" spans="1:15" ht="18" customHeight="1" x14ac:dyDescent="0.3"/>
    <row r="32" spans="1:15" ht="18" customHeight="1" x14ac:dyDescent="0.3">
      <c r="A32" s="2" t="s">
        <v>31</v>
      </c>
      <c r="B32" s="40"/>
      <c r="C32" s="40"/>
      <c r="D32" s="40"/>
      <c r="E32" s="40"/>
      <c r="F32" s="38"/>
      <c r="H32" s="2" t="s">
        <v>32</v>
      </c>
      <c r="I32" s="2"/>
      <c r="J32" s="2"/>
      <c r="K32" s="2"/>
      <c r="L32" s="2"/>
    </row>
    <row r="33" spans="1:12" ht="18" customHeight="1" x14ac:dyDescent="0.3">
      <c r="F33" s="38"/>
      <c r="H33" s="33"/>
      <c r="I33" s="33"/>
      <c r="J33" s="39"/>
      <c r="K33" s="24"/>
      <c r="L33" s="6"/>
    </row>
    <row r="34" spans="1:12" ht="9" customHeight="1" x14ac:dyDescent="0.3">
      <c r="A34" s="41"/>
    </row>
  </sheetData>
  <mergeCells count="21">
    <mergeCell ref="A15:A16"/>
    <mergeCell ref="B15:D15"/>
    <mergeCell ref="B16:D16"/>
    <mergeCell ref="B17:D17"/>
    <mergeCell ref="B19:D19"/>
    <mergeCell ref="B21:E21"/>
    <mergeCell ref="C8:F8"/>
    <mergeCell ref="C5:F5"/>
    <mergeCell ref="B18:D18"/>
    <mergeCell ref="C9:F9"/>
    <mergeCell ref="C10:F10"/>
    <mergeCell ref="C6:F6"/>
    <mergeCell ref="L3:O3"/>
    <mergeCell ref="L4:O4"/>
    <mergeCell ref="L9:O9"/>
    <mergeCell ref="L10:O10"/>
    <mergeCell ref="L11:O11"/>
    <mergeCell ref="L8:O8"/>
    <mergeCell ref="L5:O5"/>
    <mergeCell ref="L6:O6"/>
    <mergeCell ref="L7:O7"/>
  </mergeCells>
  <pageMargins left="0.78740157480314965" right="0.15748031496062992" top="0.98425196850393704" bottom="0.39370078740157483" header="0.43307086614173229" footer="0.19685039370078741"/>
  <pageSetup paperSize="9" scale="75" orientation="landscape" r:id="rId1"/>
  <headerFooter alignWithMargins="0">
    <oddHeader>&amp;L&amp;G
&amp;C&amp;"Verdana,Normal"&amp;12PROTOKOLL FÖR LAGTÄVLAN</oddHeader>
    <oddFooter xml:space="preserve">&amp;R2026-03-22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34"/>
  <sheetViews>
    <sheetView showZeros="0" view="pageLayout" zoomScaleNormal="100" workbookViewId="0">
      <selection activeCell="B22" sqref="B22:E22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11" width="7.26953125" style="1" customWidth="1"/>
    <col min="12" max="12" width="10.6328125" style="1" customWidth="1"/>
    <col min="13" max="13" width="7.26953125" style="1" customWidth="1"/>
    <col min="14" max="14" width="9.08984375" style="1"/>
    <col min="15" max="15" width="12.7265625" style="1" bestFit="1" customWidth="1"/>
    <col min="16" max="16384" width="9.08984375" style="1"/>
  </cols>
  <sheetData>
    <row r="1" spans="1:20" ht="6" customHeight="1" thickBot="1" x14ac:dyDescent="0.35"/>
    <row r="2" spans="1:20" ht="24" customHeight="1" thickBot="1" x14ac:dyDescent="0.35">
      <c r="A2" s="7" t="s">
        <v>111</v>
      </c>
      <c r="K2" s="1" t="s">
        <v>17</v>
      </c>
      <c r="P2" s="9"/>
      <c r="Q2" s="13" t="s">
        <v>88</v>
      </c>
      <c r="R2" s="10"/>
      <c r="S2" s="11"/>
      <c r="T2" s="11"/>
    </row>
    <row r="3" spans="1:20" ht="24" customHeight="1" thickBot="1" x14ac:dyDescent="0.35">
      <c r="A3" s="4" t="s">
        <v>147</v>
      </c>
      <c r="J3" s="165" t="str">
        <f>IF(L3&lt;&gt;0,I2+1,"0")</f>
        <v>0</v>
      </c>
      <c r="K3" s="2" t="s">
        <v>0</v>
      </c>
      <c r="L3" s="40"/>
      <c r="M3" s="40"/>
      <c r="N3" s="40"/>
      <c r="O3" s="166"/>
      <c r="P3" s="9"/>
      <c r="Q3" s="13" t="s">
        <v>89</v>
      </c>
      <c r="R3" s="10"/>
      <c r="S3" s="11"/>
      <c r="T3" s="11"/>
    </row>
    <row r="4" spans="1:20" ht="24" customHeight="1" thickBot="1" x14ac:dyDescent="0.35">
      <c r="A4" s="2" t="s">
        <v>13</v>
      </c>
      <c r="B4" s="2"/>
      <c r="C4" s="150"/>
      <c r="D4" s="8"/>
      <c r="E4" s="8"/>
      <c r="F4" s="8"/>
      <c r="J4" s="165" t="str">
        <f t="shared" ref="J4:J11" si="0">IF(L4&lt;&gt;0,J3+1,"0")</f>
        <v>0</v>
      </c>
      <c r="K4" s="12" t="s">
        <v>1</v>
      </c>
      <c r="L4" s="92"/>
      <c r="M4" s="92"/>
      <c r="N4" s="92"/>
      <c r="O4" s="167"/>
      <c r="P4" s="9"/>
      <c r="Q4" s="13" t="s">
        <v>82</v>
      </c>
      <c r="R4" s="10"/>
      <c r="S4" s="11"/>
      <c r="T4" s="161"/>
    </row>
    <row r="5" spans="1:20" ht="24" customHeight="1" thickBot="1" x14ac:dyDescent="0.35">
      <c r="A5" s="12" t="s">
        <v>14</v>
      </c>
      <c r="B5" s="12"/>
      <c r="C5" s="174"/>
      <c r="D5" s="174"/>
      <c r="E5" s="174"/>
      <c r="F5" s="174"/>
      <c r="J5" s="165" t="str">
        <f t="shared" si="0"/>
        <v>0</v>
      </c>
      <c r="K5" s="12" t="s">
        <v>2</v>
      </c>
      <c r="L5" s="92"/>
      <c r="M5" s="12"/>
      <c r="N5" s="12"/>
      <c r="O5" s="130"/>
      <c r="P5" s="9"/>
      <c r="Q5" s="13" t="s">
        <v>12</v>
      </c>
      <c r="R5" s="128"/>
      <c r="S5" s="11"/>
      <c r="T5" s="11"/>
    </row>
    <row r="6" spans="1:20" ht="19.5" customHeight="1" x14ac:dyDescent="0.3">
      <c r="A6" s="12" t="s">
        <v>15</v>
      </c>
      <c r="B6" s="12"/>
      <c r="C6" s="174"/>
      <c r="D6" s="174"/>
      <c r="E6" s="174"/>
      <c r="F6" s="174"/>
      <c r="J6" s="165" t="str">
        <f t="shared" si="0"/>
        <v>0</v>
      </c>
      <c r="K6" s="12" t="s">
        <v>3</v>
      </c>
      <c r="L6" s="92"/>
      <c r="M6" s="12"/>
      <c r="N6" s="12"/>
      <c r="O6" s="130"/>
    </row>
    <row r="7" spans="1:20" ht="17.149999999999999" customHeight="1" x14ac:dyDescent="0.3">
      <c r="A7" s="12" t="s">
        <v>87</v>
      </c>
      <c r="B7" s="12"/>
      <c r="C7" s="92"/>
      <c r="D7" s="92"/>
      <c r="E7" s="92"/>
      <c r="F7" s="92"/>
      <c r="J7" s="165" t="str">
        <f t="shared" si="0"/>
        <v>0</v>
      </c>
      <c r="K7" s="12" t="s">
        <v>4</v>
      </c>
      <c r="L7" s="92"/>
      <c r="M7" s="12"/>
      <c r="N7" s="12"/>
      <c r="O7" s="130"/>
    </row>
    <row r="8" spans="1:20" ht="17.149999999999999" customHeight="1" x14ac:dyDescent="0.3">
      <c r="A8" s="2" t="s">
        <v>6</v>
      </c>
      <c r="B8" s="2"/>
      <c r="C8" s="177"/>
      <c r="D8" s="177"/>
      <c r="E8" s="177"/>
      <c r="F8" s="177"/>
      <c r="J8" s="165" t="str">
        <f t="shared" si="0"/>
        <v>0</v>
      </c>
      <c r="K8" s="12" t="s">
        <v>5</v>
      </c>
      <c r="L8" s="92"/>
      <c r="M8" s="12"/>
      <c r="N8" s="12"/>
      <c r="O8" s="130"/>
    </row>
    <row r="9" spans="1:20" ht="17.149999999999999" customHeight="1" x14ac:dyDescent="0.3">
      <c r="A9" s="12" t="s">
        <v>16</v>
      </c>
      <c r="B9" s="12"/>
      <c r="C9" s="174"/>
      <c r="D9" s="174"/>
      <c r="E9" s="174"/>
      <c r="F9" s="174"/>
      <c r="J9" s="165" t="str">
        <f t="shared" si="0"/>
        <v>0</v>
      </c>
      <c r="K9" s="12" t="s">
        <v>142</v>
      </c>
      <c r="L9" s="92"/>
      <c r="M9" s="12"/>
      <c r="N9" s="12"/>
      <c r="O9" s="130"/>
    </row>
    <row r="10" spans="1:20" ht="17.149999999999999" customHeight="1" x14ac:dyDescent="0.3">
      <c r="A10" s="12" t="s">
        <v>85</v>
      </c>
      <c r="B10" s="12"/>
      <c r="C10" s="174"/>
      <c r="D10" s="174"/>
      <c r="E10" s="174"/>
      <c r="F10" s="174"/>
      <c r="J10" s="165" t="str">
        <f t="shared" si="0"/>
        <v>0</v>
      </c>
      <c r="K10" s="12" t="s">
        <v>143</v>
      </c>
      <c r="L10" s="92"/>
      <c r="M10" s="12"/>
      <c r="N10" s="12"/>
      <c r="O10" s="130"/>
    </row>
    <row r="11" spans="1:20" ht="17.149999999999999" customHeight="1" x14ac:dyDescent="0.3">
      <c r="J11" s="165" t="str">
        <f t="shared" si="0"/>
        <v>0</v>
      </c>
      <c r="K11" s="12" t="s">
        <v>144</v>
      </c>
      <c r="L11" s="92"/>
      <c r="M11" s="12"/>
      <c r="N11" s="12"/>
      <c r="O11" s="130"/>
    </row>
    <row r="12" spans="1:20" ht="17.149999999999999" customHeight="1" x14ac:dyDescent="0.3">
      <c r="C12" s="14"/>
    </row>
    <row r="13" spans="1:20" ht="21.75" customHeight="1" x14ac:dyDescent="0.3">
      <c r="A13" s="15"/>
      <c r="B13" s="16"/>
    </row>
    <row r="14" spans="1:20" ht="15.75" customHeight="1" x14ac:dyDescent="0.3">
      <c r="F14" s="17">
        <v>1</v>
      </c>
      <c r="G14" s="17">
        <v>2</v>
      </c>
      <c r="H14" s="17">
        <v>3</v>
      </c>
      <c r="I14" s="17">
        <v>4</v>
      </c>
      <c r="J14" s="17">
        <v>5</v>
      </c>
      <c r="K14" s="17">
        <v>6</v>
      </c>
      <c r="L14" s="17">
        <v>7</v>
      </c>
      <c r="M14" s="17">
        <v>8</v>
      </c>
      <c r="N14" s="17">
        <v>9</v>
      </c>
      <c r="O14" s="17" t="s">
        <v>30</v>
      </c>
    </row>
    <row r="15" spans="1:20" ht="20.149999999999999" customHeight="1" x14ac:dyDescent="0.3">
      <c r="A15" s="237"/>
      <c r="B15" s="238" t="s">
        <v>49</v>
      </c>
      <c r="C15" s="239"/>
      <c r="D15" s="239"/>
      <c r="E15" s="18"/>
      <c r="F15" s="153"/>
      <c r="G15" s="153"/>
      <c r="H15" s="153"/>
      <c r="I15" s="153"/>
      <c r="J15" s="153"/>
      <c r="K15" s="153"/>
      <c r="L15" s="153"/>
      <c r="M15" s="153">
        <v>0</v>
      </c>
      <c r="N15" s="153">
        <v>0</v>
      </c>
      <c r="O15" s="19">
        <f>SUM(F15:N15)</f>
        <v>0</v>
      </c>
    </row>
    <row r="16" spans="1:20" ht="20.149999999999999" customHeight="1" x14ac:dyDescent="0.3">
      <c r="A16" s="237"/>
      <c r="B16" s="240" t="s">
        <v>50</v>
      </c>
      <c r="C16" s="239"/>
      <c r="D16" s="239"/>
      <c r="E16" s="18"/>
      <c r="F16" s="153"/>
      <c r="G16" s="153"/>
      <c r="H16" s="153"/>
      <c r="I16" s="153"/>
      <c r="J16" s="153"/>
      <c r="K16" s="153"/>
      <c r="L16" s="153"/>
      <c r="M16" s="153"/>
      <c r="N16" s="153">
        <v>0</v>
      </c>
      <c r="O16" s="19">
        <f t="shared" ref="O16:O22" si="1">SUM(F16:N16)</f>
        <v>0</v>
      </c>
    </row>
    <row r="17" spans="1:15" ht="20.149999999999999" customHeight="1" x14ac:dyDescent="0.3">
      <c r="B17" s="240" t="s">
        <v>51</v>
      </c>
      <c r="C17" s="239"/>
      <c r="D17" s="239"/>
      <c r="E17" s="18"/>
      <c r="F17" s="153"/>
      <c r="G17" s="153"/>
      <c r="H17" s="153"/>
      <c r="I17" s="153"/>
      <c r="J17" s="153"/>
      <c r="K17" s="153"/>
      <c r="L17" s="153"/>
      <c r="M17" s="153"/>
      <c r="N17" s="153"/>
      <c r="O17" s="19">
        <f t="shared" si="1"/>
        <v>0</v>
      </c>
    </row>
    <row r="18" spans="1:15" ht="20.149999999999999" customHeight="1" x14ac:dyDescent="0.3">
      <c r="B18" s="244" t="s">
        <v>59</v>
      </c>
      <c r="C18" s="239"/>
      <c r="D18" s="239"/>
      <c r="E18" s="18"/>
      <c r="F18" s="153"/>
      <c r="G18" s="153"/>
      <c r="H18" s="153"/>
      <c r="I18" s="153"/>
      <c r="J18" s="153"/>
      <c r="K18" s="153"/>
      <c r="L18" s="153"/>
      <c r="M18" s="153"/>
      <c r="N18" s="153"/>
      <c r="O18" s="19">
        <f t="shared" si="1"/>
        <v>0</v>
      </c>
    </row>
    <row r="19" spans="1:15" ht="20.149999999999999" customHeight="1" x14ac:dyDescent="0.3">
      <c r="B19" s="235" t="s">
        <v>60</v>
      </c>
      <c r="C19" s="236"/>
      <c r="D19" s="236"/>
      <c r="E19" s="20"/>
      <c r="F19" s="153"/>
      <c r="G19" s="153"/>
      <c r="H19" s="153"/>
      <c r="I19" s="153"/>
      <c r="J19" s="153"/>
      <c r="K19" s="153"/>
      <c r="L19" s="153"/>
      <c r="M19" s="153"/>
      <c r="N19" s="153"/>
      <c r="O19" s="19">
        <f t="shared" si="1"/>
        <v>0</v>
      </c>
    </row>
    <row r="20" spans="1:15" ht="20.149999999999999" customHeight="1" x14ac:dyDescent="0.3">
      <c r="B20" s="240" t="s">
        <v>61</v>
      </c>
      <c r="C20" s="239"/>
      <c r="D20" s="239"/>
      <c r="E20" s="18"/>
      <c r="F20" s="153"/>
      <c r="G20" s="153"/>
      <c r="H20" s="153"/>
      <c r="I20" s="153"/>
      <c r="J20" s="153"/>
      <c r="K20" s="153"/>
      <c r="L20" s="153"/>
      <c r="M20" s="153"/>
      <c r="N20" s="153"/>
      <c r="O20" s="19">
        <f t="shared" si="1"/>
        <v>0</v>
      </c>
    </row>
    <row r="21" spans="1:15" ht="20.149999999999999" customHeight="1" x14ac:dyDescent="0.3">
      <c r="B21" s="69" t="s">
        <v>52</v>
      </c>
      <c r="C21" s="70"/>
      <c r="D21" s="70"/>
      <c r="E21" s="18"/>
      <c r="F21" s="153"/>
      <c r="G21" s="153"/>
      <c r="H21" s="153"/>
      <c r="I21" s="153"/>
      <c r="J21" s="153"/>
      <c r="K21" s="153"/>
      <c r="L21" s="153"/>
      <c r="M21" s="153"/>
      <c r="N21" s="153"/>
      <c r="O21" s="19">
        <f t="shared" si="1"/>
        <v>0</v>
      </c>
    </row>
    <row r="22" spans="1:15" ht="24" customHeight="1" x14ac:dyDescent="0.3">
      <c r="B22" s="245" t="s">
        <v>150</v>
      </c>
      <c r="C22" s="246"/>
      <c r="D22" s="246"/>
      <c r="E22" s="246"/>
      <c r="F22" s="153"/>
      <c r="G22" s="153"/>
      <c r="H22" s="153"/>
      <c r="I22" s="153"/>
      <c r="J22" s="153"/>
      <c r="K22" s="153"/>
      <c r="L22" s="153"/>
      <c r="M22" s="153"/>
      <c r="N22" s="153"/>
      <c r="O22" s="19">
        <f t="shared" si="1"/>
        <v>0</v>
      </c>
    </row>
    <row r="23" spans="1:15" ht="14.25" customHeight="1" x14ac:dyDescent="0.3">
      <c r="M23" s="1" t="s">
        <v>145</v>
      </c>
      <c r="O23" s="1">
        <f>MAX(J3:J11)</f>
        <v>0</v>
      </c>
    </row>
    <row r="24" spans="1:15" ht="15.75" customHeight="1" thickBot="1" x14ac:dyDescent="0.35">
      <c r="B24" s="22" t="s">
        <v>54</v>
      </c>
      <c r="C24" s="3"/>
      <c r="D24" s="3"/>
      <c r="E24" s="3"/>
      <c r="F24" s="3"/>
      <c r="G24" s="3"/>
      <c r="H24" s="23"/>
      <c r="N24" s="24" t="s">
        <v>55</v>
      </c>
      <c r="O24" s="19">
        <f>SUM(O15:O22)</f>
        <v>0</v>
      </c>
    </row>
    <row r="25" spans="1:15" ht="18" customHeight="1" thickBot="1" x14ac:dyDescent="0.35">
      <c r="B25" s="25"/>
      <c r="H25" s="26"/>
      <c r="M25" s="24"/>
      <c r="N25" s="24" t="s">
        <v>146</v>
      </c>
      <c r="O25" s="27">
        <f>IFERROR(ROUND(O24/O23,3),0)</f>
        <v>0</v>
      </c>
    </row>
    <row r="26" spans="1:15" x14ac:dyDescent="0.3">
      <c r="B26" s="25"/>
      <c r="H26" s="26"/>
      <c r="L26" s="28"/>
      <c r="M26" s="29"/>
      <c r="O26" s="30"/>
    </row>
    <row r="27" spans="1:15" x14ac:dyDescent="0.3">
      <c r="B27" s="31"/>
      <c r="C27" s="2"/>
      <c r="D27" s="2"/>
      <c r="E27" s="2"/>
      <c r="F27" s="2"/>
      <c r="G27" s="2"/>
      <c r="H27" s="32"/>
      <c r="N27" s="24" t="s">
        <v>62</v>
      </c>
      <c r="O27" s="29"/>
    </row>
    <row r="28" spans="1:15" ht="9.75" customHeight="1" thickBot="1" x14ac:dyDescent="0.35"/>
    <row r="29" spans="1:15" ht="22.5" customHeight="1" thickBot="1" x14ac:dyDescent="0.35">
      <c r="F29" s="38"/>
      <c r="H29" s="33"/>
      <c r="L29" s="71" t="s">
        <v>63</v>
      </c>
      <c r="M29" s="72"/>
      <c r="N29" s="73"/>
      <c r="O29" s="37">
        <f>ROUND(+O25/8,3)</f>
        <v>0</v>
      </c>
    </row>
    <row r="30" spans="1:15" ht="18" customHeight="1" x14ac:dyDescent="0.3">
      <c r="F30" s="38"/>
      <c r="H30" s="33"/>
      <c r="I30" s="33"/>
      <c r="J30" s="39"/>
      <c r="K30" s="24"/>
      <c r="L30" s="6"/>
    </row>
    <row r="31" spans="1:15" ht="18" customHeight="1" x14ac:dyDescent="0.3">
      <c r="F31" s="38"/>
      <c r="H31" s="33"/>
      <c r="I31" s="33"/>
      <c r="J31" s="39"/>
      <c r="K31" s="24"/>
      <c r="L31" s="6"/>
    </row>
    <row r="32" spans="1:15" ht="18" customHeight="1" x14ac:dyDescent="0.3">
      <c r="A32" s="2" t="s">
        <v>31</v>
      </c>
      <c r="B32" s="40"/>
      <c r="C32" s="40"/>
      <c r="D32" s="40"/>
      <c r="E32" s="40"/>
      <c r="F32" s="38"/>
      <c r="H32" s="2" t="s">
        <v>32</v>
      </c>
      <c r="I32" s="2"/>
      <c r="J32" s="2"/>
      <c r="K32" s="2"/>
      <c r="L32" s="2"/>
    </row>
    <row r="33" spans="6:12" ht="18" customHeight="1" x14ac:dyDescent="0.3">
      <c r="F33" s="38"/>
      <c r="H33" s="33"/>
      <c r="I33" s="33"/>
      <c r="J33" s="39"/>
      <c r="K33" s="24"/>
      <c r="L33" s="6"/>
    </row>
    <row r="34" spans="6:12" ht="18" customHeight="1" x14ac:dyDescent="0.3">
      <c r="F34" s="38"/>
      <c r="H34" s="33"/>
      <c r="I34" s="33"/>
      <c r="J34" s="39"/>
      <c r="K34" s="24"/>
      <c r="L34" s="6"/>
    </row>
  </sheetData>
  <mergeCells count="13">
    <mergeCell ref="B19:D19"/>
    <mergeCell ref="B20:D20"/>
    <mergeCell ref="B17:D17"/>
    <mergeCell ref="B18:D18"/>
    <mergeCell ref="B22:E22"/>
    <mergeCell ref="C5:F5"/>
    <mergeCell ref="C6:F6"/>
    <mergeCell ref="A15:A16"/>
    <mergeCell ref="B15:D15"/>
    <mergeCell ref="B16:D16"/>
    <mergeCell ref="C8:F8"/>
    <mergeCell ref="C10:F10"/>
    <mergeCell ref="C9:F9"/>
  </mergeCells>
  <pageMargins left="0.78740157480314965" right="0.15748031496062992" top="0.98425196850393704" bottom="0.39370078740157483" header="0.43307086614173229" footer="0.19685039370078741"/>
  <pageSetup paperSize="9" scale="84" orientation="landscape" r:id="rId1"/>
  <headerFooter alignWithMargins="0">
    <oddHeader>&amp;L&amp;G
&amp;C&amp;"Verdana,Normal"&amp;12PROTOKOLL FÖR LAGTÄVLAN</oddHeader>
    <oddFooter xml:space="preserve">&amp;R2020-01-06
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66"/>
  <sheetViews>
    <sheetView showZeros="0" view="pageLayout" topLeftCell="A11" zoomScaleNormal="100" workbookViewId="0">
      <selection activeCell="L6" sqref="L6:O6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11" width="7.26953125" style="1" customWidth="1"/>
    <col min="12" max="12" width="10.6328125" style="1" customWidth="1"/>
    <col min="13" max="13" width="7.26953125" style="1" customWidth="1"/>
    <col min="14" max="14" width="9.08984375" style="1"/>
    <col min="15" max="15" width="14.08984375" style="1" bestFit="1" customWidth="1"/>
    <col min="16" max="16384" width="9.08984375" style="1"/>
  </cols>
  <sheetData>
    <row r="1" spans="1:21" ht="6" customHeight="1" thickBot="1" x14ac:dyDescent="0.35"/>
    <row r="2" spans="1:21" ht="24" customHeight="1" thickBot="1" x14ac:dyDescent="0.35">
      <c r="A2" s="7" t="s">
        <v>110</v>
      </c>
      <c r="K2" s="1" t="s">
        <v>17</v>
      </c>
      <c r="Q2" s="9"/>
      <c r="R2" s="13" t="s">
        <v>88</v>
      </c>
      <c r="S2" s="10"/>
      <c r="T2" s="11"/>
      <c r="U2" s="11"/>
    </row>
    <row r="3" spans="1:21" ht="24" customHeight="1" thickBot="1" x14ac:dyDescent="0.35">
      <c r="A3" s="4" t="s">
        <v>131</v>
      </c>
      <c r="J3" s="165" t="str">
        <f>IF(L3&lt;&gt;0,J2+1,"0")</f>
        <v>0</v>
      </c>
      <c r="K3" s="2" t="s">
        <v>0</v>
      </c>
      <c r="L3" s="177"/>
      <c r="M3" s="177"/>
      <c r="N3" s="177"/>
      <c r="O3" s="177"/>
      <c r="Q3" s="9"/>
      <c r="R3" s="13" t="s">
        <v>89</v>
      </c>
      <c r="S3" s="10"/>
      <c r="T3" s="11"/>
      <c r="U3" s="11"/>
    </row>
    <row r="4" spans="1:21" ht="24" customHeight="1" thickBot="1" x14ac:dyDescent="0.35">
      <c r="A4" s="2" t="s">
        <v>13</v>
      </c>
      <c r="B4" s="2"/>
      <c r="C4" s="150"/>
      <c r="D4" s="8"/>
      <c r="E4" s="8"/>
      <c r="F4" s="8"/>
      <c r="J4" s="165" t="str">
        <f t="shared" ref="J4:J11" si="0">IF(L4&lt;&gt;0,J3+1,"0")</f>
        <v>0</v>
      </c>
      <c r="K4" s="12" t="s">
        <v>1</v>
      </c>
      <c r="L4" s="174"/>
      <c r="M4" s="174"/>
      <c r="N4" s="174"/>
      <c r="O4" s="174"/>
      <c r="Q4" s="9"/>
      <c r="R4" s="13" t="s">
        <v>82</v>
      </c>
      <c r="S4" s="10"/>
      <c r="T4" s="11"/>
      <c r="U4" s="161"/>
    </row>
    <row r="5" spans="1:21" ht="24" customHeight="1" thickBot="1" x14ac:dyDescent="0.35">
      <c r="A5" s="12" t="s">
        <v>14</v>
      </c>
      <c r="B5" s="12"/>
      <c r="C5" s="174"/>
      <c r="D5" s="174"/>
      <c r="E5" s="174"/>
      <c r="F5" s="174"/>
      <c r="J5" s="165" t="str">
        <f t="shared" si="0"/>
        <v>0</v>
      </c>
      <c r="K5" s="12" t="s">
        <v>2</v>
      </c>
      <c r="L5" s="174"/>
      <c r="M5" s="175"/>
      <c r="N5" s="175"/>
      <c r="O5" s="175"/>
      <c r="Q5" s="9"/>
      <c r="R5" s="13" t="s">
        <v>12</v>
      </c>
      <c r="S5" s="128"/>
      <c r="T5" s="11"/>
      <c r="U5" s="11"/>
    </row>
    <row r="6" spans="1:21" ht="19.5" customHeight="1" x14ac:dyDescent="0.3">
      <c r="A6" s="12" t="s">
        <v>15</v>
      </c>
      <c r="B6" s="12"/>
      <c r="C6" s="174"/>
      <c r="D6" s="174"/>
      <c r="E6" s="174"/>
      <c r="F6" s="174"/>
      <c r="J6" s="165" t="str">
        <f t="shared" si="0"/>
        <v>0</v>
      </c>
      <c r="K6" s="12" t="s">
        <v>3</v>
      </c>
      <c r="L6" s="174"/>
      <c r="M6" s="175"/>
      <c r="N6" s="175"/>
      <c r="O6" s="175"/>
    </row>
    <row r="7" spans="1:21" ht="17.149999999999999" customHeight="1" x14ac:dyDescent="0.3">
      <c r="A7" s="12" t="s">
        <v>87</v>
      </c>
      <c r="B7" s="12"/>
      <c r="C7" s="92"/>
      <c r="D7" s="92"/>
      <c r="E7" s="92"/>
      <c r="F7" s="92"/>
      <c r="J7" s="165" t="str">
        <f t="shared" si="0"/>
        <v>0</v>
      </c>
      <c r="K7" s="12" t="s">
        <v>4</v>
      </c>
      <c r="L7" s="174"/>
      <c r="M7" s="175"/>
      <c r="N7" s="175"/>
      <c r="O7" s="175"/>
    </row>
    <row r="8" spans="1:21" ht="17.149999999999999" customHeight="1" x14ac:dyDescent="0.3">
      <c r="A8" s="2" t="s">
        <v>6</v>
      </c>
      <c r="B8" s="2"/>
      <c r="C8" s="177"/>
      <c r="D8" s="177"/>
      <c r="E8" s="177"/>
      <c r="F8" s="177"/>
      <c r="J8" s="165" t="str">
        <f t="shared" si="0"/>
        <v>0</v>
      </c>
      <c r="K8" s="12" t="s">
        <v>5</v>
      </c>
      <c r="L8" s="174"/>
      <c r="M8" s="175"/>
      <c r="N8" s="175"/>
      <c r="O8" s="175"/>
    </row>
    <row r="9" spans="1:21" ht="17.149999999999999" customHeight="1" x14ac:dyDescent="0.3">
      <c r="A9" s="12" t="s">
        <v>16</v>
      </c>
      <c r="B9" s="12"/>
      <c r="C9" s="174"/>
      <c r="D9" s="174"/>
      <c r="E9" s="174"/>
      <c r="F9" s="174"/>
      <c r="J9" s="165" t="str">
        <f t="shared" si="0"/>
        <v>0</v>
      </c>
      <c r="K9" s="12" t="s">
        <v>142</v>
      </c>
      <c r="L9" s="174"/>
      <c r="M9" s="175"/>
      <c r="N9" s="175"/>
      <c r="O9" s="175"/>
    </row>
    <row r="10" spans="1:21" ht="17.149999999999999" customHeight="1" x14ac:dyDescent="0.3">
      <c r="A10" s="12" t="s">
        <v>85</v>
      </c>
      <c r="B10" s="12"/>
      <c r="C10" s="174"/>
      <c r="D10" s="174"/>
      <c r="E10" s="174"/>
      <c r="F10" s="174"/>
      <c r="J10" s="165" t="str">
        <f t="shared" si="0"/>
        <v>0</v>
      </c>
      <c r="K10" s="12" t="s">
        <v>143</v>
      </c>
      <c r="L10" s="174"/>
      <c r="M10" s="175"/>
      <c r="N10" s="175"/>
      <c r="O10" s="175"/>
    </row>
    <row r="11" spans="1:21" ht="17.149999999999999" customHeight="1" x14ac:dyDescent="0.3">
      <c r="J11" s="165" t="str">
        <f t="shared" si="0"/>
        <v>0</v>
      </c>
      <c r="K11" s="12" t="s">
        <v>144</v>
      </c>
      <c r="L11" s="174"/>
      <c r="M11" s="175"/>
      <c r="N11" s="175"/>
      <c r="O11" s="175"/>
    </row>
    <row r="12" spans="1:21" ht="17.149999999999999" customHeight="1" x14ac:dyDescent="0.3">
      <c r="C12" s="14"/>
    </row>
    <row r="13" spans="1:21" ht="17.149999999999999" customHeight="1" x14ac:dyDescent="0.3">
      <c r="H13" s="3"/>
      <c r="I13" s="3"/>
      <c r="J13" s="3"/>
      <c r="K13" s="3"/>
      <c r="L13" s="3"/>
    </row>
    <row r="14" spans="1:21" ht="21.75" customHeight="1" x14ac:dyDescent="0.3">
      <c r="A14" s="15"/>
      <c r="B14" s="16"/>
    </row>
    <row r="15" spans="1:21" ht="15.75" customHeight="1" x14ac:dyDescent="0.3">
      <c r="F15" s="17">
        <v>1</v>
      </c>
      <c r="G15" s="17">
        <v>2</v>
      </c>
      <c r="H15" s="17">
        <v>3</v>
      </c>
      <c r="I15" s="17">
        <v>4</v>
      </c>
      <c r="J15" s="17">
        <v>5</v>
      </c>
      <c r="K15" s="17">
        <v>6</v>
      </c>
      <c r="L15" s="17">
        <v>7</v>
      </c>
      <c r="M15" s="17">
        <v>8</v>
      </c>
      <c r="N15" s="17">
        <v>9</v>
      </c>
      <c r="O15" s="17" t="s">
        <v>30</v>
      </c>
    </row>
    <row r="16" spans="1:21" ht="20.149999999999999" customHeight="1" x14ac:dyDescent="0.3">
      <c r="A16" s="237"/>
      <c r="B16" s="238" t="s">
        <v>49</v>
      </c>
      <c r="C16" s="239"/>
      <c r="D16" s="239"/>
      <c r="E16" s="18"/>
      <c r="F16" s="153"/>
      <c r="G16" s="153"/>
      <c r="H16" s="153"/>
      <c r="I16" s="153"/>
      <c r="J16" s="153"/>
      <c r="K16" s="153"/>
      <c r="L16" s="153"/>
      <c r="M16" s="153"/>
      <c r="N16" s="153"/>
      <c r="O16" s="19">
        <f>SUM(F16:N16)</f>
        <v>0</v>
      </c>
    </row>
    <row r="17" spans="1:15" ht="20.149999999999999" customHeight="1" x14ac:dyDescent="0.3">
      <c r="A17" s="237"/>
      <c r="B17" s="240" t="s">
        <v>50</v>
      </c>
      <c r="C17" s="239"/>
      <c r="D17" s="239"/>
      <c r="E17" s="18"/>
      <c r="F17" s="153"/>
      <c r="G17" s="153"/>
      <c r="H17" s="153"/>
      <c r="I17" s="153"/>
      <c r="J17" s="153"/>
      <c r="K17" s="153"/>
      <c r="L17" s="153"/>
      <c r="M17" s="153"/>
      <c r="N17" s="153"/>
      <c r="O17" s="19">
        <f t="shared" ref="O17:O22" si="1">SUM(F17:N17)</f>
        <v>0</v>
      </c>
    </row>
    <row r="18" spans="1:15" ht="20.149999999999999" customHeight="1" x14ac:dyDescent="0.3">
      <c r="B18" s="240" t="s">
        <v>51</v>
      </c>
      <c r="C18" s="239"/>
      <c r="D18" s="239"/>
      <c r="E18" s="18"/>
      <c r="F18" s="153"/>
      <c r="G18" s="153"/>
      <c r="H18" s="153"/>
      <c r="I18" s="153"/>
      <c r="J18" s="153"/>
      <c r="K18" s="153"/>
      <c r="L18" s="153"/>
      <c r="M18" s="153"/>
      <c r="N18" s="153"/>
      <c r="O18" s="19">
        <f t="shared" si="1"/>
        <v>0</v>
      </c>
    </row>
    <row r="19" spans="1:15" ht="20.149999999999999" customHeight="1" x14ac:dyDescent="0.3">
      <c r="B19" s="244" t="s">
        <v>52</v>
      </c>
      <c r="C19" s="239"/>
      <c r="D19" s="239"/>
      <c r="E19" s="18"/>
      <c r="F19" s="153"/>
      <c r="G19" s="153"/>
      <c r="H19" s="153"/>
      <c r="I19" s="153"/>
      <c r="J19" s="153"/>
      <c r="K19" s="153"/>
      <c r="L19" s="153"/>
      <c r="M19" s="153"/>
      <c r="N19" s="153"/>
      <c r="O19" s="19">
        <f t="shared" si="1"/>
        <v>0</v>
      </c>
    </row>
    <row r="20" spans="1:15" ht="20.149999999999999" customHeight="1" x14ac:dyDescent="0.3">
      <c r="B20" s="240" t="s">
        <v>132</v>
      </c>
      <c r="C20" s="239"/>
      <c r="D20" s="239"/>
      <c r="E20" s="247"/>
      <c r="F20" s="153"/>
      <c r="G20" s="153"/>
      <c r="H20" s="153"/>
      <c r="I20" s="153"/>
      <c r="J20" s="153"/>
      <c r="K20" s="153"/>
      <c r="L20" s="153"/>
      <c r="M20" s="153"/>
      <c r="N20" s="153"/>
      <c r="O20" s="19">
        <f t="shared" si="1"/>
        <v>0</v>
      </c>
    </row>
    <row r="21" spans="1:15" ht="20.149999999999999" customHeight="1" x14ac:dyDescent="0.3">
      <c r="B21" s="240" t="s">
        <v>53</v>
      </c>
      <c r="C21" s="239"/>
      <c r="D21" s="239"/>
      <c r="E21" s="18"/>
      <c r="F21" s="153"/>
      <c r="G21" s="153"/>
      <c r="H21" s="153"/>
      <c r="I21" s="153"/>
      <c r="J21" s="153"/>
      <c r="K21" s="153"/>
      <c r="L21" s="153"/>
      <c r="M21" s="153"/>
      <c r="N21" s="153"/>
      <c r="O21" s="19">
        <f t="shared" si="1"/>
        <v>0</v>
      </c>
    </row>
    <row r="22" spans="1:15" ht="20.149999999999999" customHeight="1" x14ac:dyDescent="0.3">
      <c r="B22" s="241" t="s">
        <v>133</v>
      </c>
      <c r="C22" s="242"/>
      <c r="D22" s="242"/>
      <c r="E22" s="243"/>
      <c r="F22" s="153"/>
      <c r="G22" s="153"/>
      <c r="H22" s="153"/>
      <c r="I22" s="153"/>
      <c r="J22" s="153"/>
      <c r="K22" s="153"/>
      <c r="L22" s="153"/>
      <c r="M22" s="153"/>
      <c r="N22" s="153"/>
      <c r="O22" s="19">
        <f t="shared" si="1"/>
        <v>0</v>
      </c>
    </row>
    <row r="23" spans="1:15" ht="14.25" customHeight="1" x14ac:dyDescent="0.3">
      <c r="L23" s="21"/>
      <c r="M23" s="1" t="s">
        <v>145</v>
      </c>
      <c r="O23" s="1">
        <f>MAX(J3:J11)</f>
        <v>0</v>
      </c>
    </row>
    <row r="24" spans="1:15" ht="15.75" customHeight="1" thickBot="1" x14ac:dyDescent="0.35">
      <c r="B24" s="22" t="s">
        <v>54</v>
      </c>
      <c r="C24" s="3"/>
      <c r="D24" s="3"/>
      <c r="E24" s="3"/>
      <c r="F24" s="3"/>
      <c r="G24" s="3"/>
      <c r="H24" s="23"/>
      <c r="N24" s="24" t="s">
        <v>55</v>
      </c>
      <c r="O24" s="19">
        <f>SUM(O16:O22)</f>
        <v>0</v>
      </c>
    </row>
    <row r="25" spans="1:15" ht="18" customHeight="1" thickBot="1" x14ac:dyDescent="0.35">
      <c r="B25" s="25"/>
      <c r="H25" s="26"/>
      <c r="M25" s="24"/>
      <c r="N25" s="24" t="s">
        <v>56</v>
      </c>
      <c r="O25" s="27">
        <f>IFERROR(ROUND(O24/O23,3),0)</f>
        <v>0</v>
      </c>
    </row>
    <row r="26" spans="1:15" x14ac:dyDescent="0.3">
      <c r="B26" s="25"/>
      <c r="H26" s="26"/>
      <c r="L26" s="28"/>
      <c r="M26" s="29"/>
      <c r="O26" s="30"/>
    </row>
    <row r="27" spans="1:15" x14ac:dyDescent="0.3">
      <c r="B27" s="31"/>
      <c r="C27" s="2"/>
      <c r="D27" s="2"/>
      <c r="E27" s="2"/>
      <c r="F27" s="2"/>
      <c r="G27" s="2"/>
      <c r="H27" s="32"/>
      <c r="N27" s="24" t="s">
        <v>57</v>
      </c>
      <c r="O27" s="29"/>
    </row>
    <row r="28" spans="1:15" ht="9.75" customHeight="1" thickBot="1" x14ac:dyDescent="0.35"/>
    <row r="29" spans="1:15" ht="21.75" customHeight="1" thickBot="1" x14ac:dyDescent="0.35">
      <c r="H29" s="33"/>
      <c r="L29" s="34" t="s">
        <v>58</v>
      </c>
      <c r="M29" s="35"/>
      <c r="N29" s="36"/>
      <c r="O29" s="37">
        <f>ROUND(+O25/7,3)</f>
        <v>0</v>
      </c>
    </row>
    <row r="30" spans="1:15" ht="18" customHeight="1" x14ac:dyDescent="0.3">
      <c r="F30" s="38"/>
      <c r="H30" s="33"/>
      <c r="I30" s="33"/>
      <c r="J30" s="39"/>
      <c r="K30" s="24"/>
      <c r="L30" s="6"/>
    </row>
    <row r="31" spans="1:15" ht="18" customHeight="1" x14ac:dyDescent="0.3">
      <c r="F31" s="38"/>
      <c r="H31" s="33"/>
      <c r="I31" s="33"/>
      <c r="J31" s="39"/>
      <c r="K31" s="24"/>
      <c r="L31" s="6"/>
    </row>
    <row r="32" spans="1:15" ht="18" customHeight="1" x14ac:dyDescent="0.3"/>
    <row r="33" spans="1:13" ht="18" customHeight="1" x14ac:dyDescent="0.3">
      <c r="A33" s="2" t="s">
        <v>31</v>
      </c>
      <c r="B33" s="40"/>
      <c r="C33" s="40"/>
      <c r="D33" s="40"/>
      <c r="E33" s="40"/>
      <c r="F33" s="38"/>
      <c r="H33" s="2" t="s">
        <v>32</v>
      </c>
      <c r="I33" s="2"/>
      <c r="J33" s="2"/>
      <c r="K33" s="2"/>
      <c r="L33" s="2"/>
    </row>
    <row r="34" spans="1:13" ht="18" customHeight="1" x14ac:dyDescent="0.3">
      <c r="F34" s="38"/>
      <c r="H34" s="33"/>
      <c r="I34" s="33"/>
      <c r="J34" s="39"/>
      <c r="K34" s="24"/>
      <c r="L34" s="6"/>
    </row>
    <row r="35" spans="1:13" ht="9" customHeight="1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</row>
    <row r="36" spans="1:13" ht="9" customHeight="1" x14ac:dyDescent="0.3"/>
    <row r="38" spans="1:13" ht="12.75" customHeight="1" x14ac:dyDescent="0.3"/>
    <row r="39" spans="1:13" ht="12.75" customHeight="1" x14ac:dyDescent="0.3"/>
    <row r="42" spans="1:13" ht="9" customHeight="1" x14ac:dyDescent="0.3"/>
    <row r="47" spans="1:13" ht="12" customHeight="1" x14ac:dyDescent="0.3"/>
    <row r="48" spans="1:13" ht="13.5" customHeight="1" x14ac:dyDescent="0.3"/>
    <row r="49" ht="10.5" customHeight="1" x14ac:dyDescent="0.3"/>
    <row r="50" ht="6.75" customHeight="1" x14ac:dyDescent="0.3"/>
    <row r="51" ht="18" customHeight="1" x14ac:dyDescent="0.3"/>
    <row r="52" ht="9" customHeight="1" x14ac:dyDescent="0.3"/>
    <row r="54" ht="12.75" customHeight="1" x14ac:dyDescent="0.3"/>
    <row r="55" ht="12.75" customHeight="1" x14ac:dyDescent="0.3"/>
    <row r="58" ht="9" customHeight="1" x14ac:dyDescent="0.3"/>
    <row r="63" ht="10.5" customHeight="1" x14ac:dyDescent="0.3"/>
    <row r="64" ht="15.75" customHeight="1" x14ac:dyDescent="0.3"/>
    <row r="66" ht="18" customHeight="1" x14ac:dyDescent="0.3"/>
  </sheetData>
  <mergeCells count="22">
    <mergeCell ref="B21:D21"/>
    <mergeCell ref="B22:E22"/>
    <mergeCell ref="L8:O8"/>
    <mergeCell ref="B18:D18"/>
    <mergeCell ref="B19:D19"/>
    <mergeCell ref="B20:E20"/>
    <mergeCell ref="C5:F5"/>
    <mergeCell ref="C8:F8"/>
    <mergeCell ref="A16:A17"/>
    <mergeCell ref="B16:D16"/>
    <mergeCell ref="B17:D17"/>
    <mergeCell ref="C6:F6"/>
    <mergeCell ref="C10:F10"/>
    <mergeCell ref="C9:F9"/>
    <mergeCell ref="L4:O4"/>
    <mergeCell ref="L3:O3"/>
    <mergeCell ref="L9:O9"/>
    <mergeCell ref="L10:O10"/>
    <mergeCell ref="L11:O11"/>
    <mergeCell ref="L5:O5"/>
    <mergeCell ref="L6:O6"/>
    <mergeCell ref="L7:O7"/>
  </mergeCells>
  <pageMargins left="0.78740157480314965" right="0.15748031496062992" top="0.98425196850393704" bottom="0.39370078740157483" header="0.43307086614173229" footer="0.19685039370078741"/>
  <pageSetup paperSize="9" scale="79" orientation="landscape" r:id="rId1"/>
  <headerFooter alignWithMargins="0">
    <oddHeader>&amp;L&amp;G
&amp;C&amp;"Verdana,Normal"&amp;12PROTOKOLL FÖR LAGTÄVLAN</oddHeader>
    <oddFooter xml:space="preserve">&amp;R2020-01-06
</oddFooter>
  </headerFooter>
  <rowBreaks count="1" manualBreakCount="1">
    <brk id="35" max="16383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5"/>
  <sheetViews>
    <sheetView showZeros="0" view="pageLayout" zoomScaleNormal="100" workbookViewId="0">
      <selection activeCell="A2" sqref="A2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9" width="7.26953125" style="1" customWidth="1"/>
    <col min="10" max="10" width="4.72656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2.5" customHeight="1" thickBot="1" x14ac:dyDescent="0.35">
      <c r="A2" s="7" t="s">
        <v>137</v>
      </c>
      <c r="H2" s="9"/>
      <c r="I2" s="13" t="s">
        <v>88</v>
      </c>
      <c r="J2" s="10"/>
      <c r="K2" s="11"/>
      <c r="L2" s="11"/>
    </row>
    <row r="3" spans="1:12" ht="24" customHeight="1" thickBot="1" x14ac:dyDescent="0.35">
      <c r="A3" s="4" t="s">
        <v>65</v>
      </c>
      <c r="H3" s="9"/>
      <c r="I3" s="13" t="s">
        <v>89</v>
      </c>
      <c r="J3" s="10"/>
      <c r="K3" s="11"/>
      <c r="L3" s="11"/>
    </row>
    <row r="4" spans="1:12" ht="24" customHeight="1" thickBot="1" x14ac:dyDescent="0.35">
      <c r="A4" s="2" t="s">
        <v>13</v>
      </c>
      <c r="B4" s="2"/>
      <c r="C4" s="150"/>
      <c r="D4" s="8"/>
      <c r="E4" s="8"/>
      <c r="F4" s="8"/>
      <c r="H4" s="9"/>
      <c r="I4" s="13" t="s">
        <v>82</v>
      </c>
      <c r="J4" s="10"/>
      <c r="K4" s="11"/>
      <c r="L4" s="161"/>
    </row>
    <row r="5" spans="1:12" ht="24" customHeight="1" thickBot="1" x14ac:dyDescent="0.35">
      <c r="A5" s="12" t="s">
        <v>14</v>
      </c>
      <c r="B5" s="12"/>
      <c r="C5" s="174"/>
      <c r="D5" s="174"/>
      <c r="E5" s="174"/>
      <c r="F5" s="174"/>
      <c r="H5" s="9"/>
      <c r="I5" s="13" t="s">
        <v>12</v>
      </c>
      <c r="J5" s="128"/>
      <c r="K5" s="11"/>
      <c r="L5" s="11"/>
    </row>
    <row r="6" spans="1:12" ht="19.5" customHeight="1" x14ac:dyDescent="0.3">
      <c r="A6" s="12" t="s">
        <v>15</v>
      </c>
      <c r="B6" s="12"/>
      <c r="C6" s="174"/>
      <c r="D6" s="174"/>
      <c r="E6" s="174"/>
      <c r="F6" s="174"/>
      <c r="H6" s="1" t="s">
        <v>17</v>
      </c>
    </row>
    <row r="7" spans="1:12" ht="17.149999999999999" customHeight="1" x14ac:dyDescent="0.3">
      <c r="A7" s="12" t="s">
        <v>87</v>
      </c>
      <c r="B7" s="12"/>
      <c r="C7" s="92"/>
      <c r="D7" s="92"/>
      <c r="E7" s="92"/>
      <c r="F7" s="92"/>
      <c r="H7" s="2" t="s">
        <v>0</v>
      </c>
      <c r="I7" s="177"/>
      <c r="J7" s="178"/>
      <c r="K7" s="178"/>
      <c r="L7" s="179"/>
    </row>
    <row r="8" spans="1:12" ht="17.149999999999999" customHeight="1" x14ac:dyDescent="0.3">
      <c r="A8" s="2" t="s">
        <v>6</v>
      </c>
      <c r="B8" s="2"/>
      <c r="C8" s="177"/>
      <c r="D8" s="177"/>
      <c r="E8" s="177"/>
      <c r="F8" s="177"/>
      <c r="H8" s="12" t="s">
        <v>1</v>
      </c>
      <c r="I8" s="174"/>
      <c r="J8" s="175"/>
      <c r="K8" s="175"/>
      <c r="L8" s="176"/>
    </row>
    <row r="9" spans="1:12" ht="17.149999999999999" customHeight="1" x14ac:dyDescent="0.3">
      <c r="A9" s="12" t="s">
        <v>16</v>
      </c>
      <c r="B9" s="12"/>
      <c r="C9" s="174"/>
      <c r="D9" s="174"/>
      <c r="E9" s="174"/>
      <c r="F9" s="174"/>
      <c r="H9" s="12" t="s">
        <v>2</v>
      </c>
      <c r="I9" s="174"/>
      <c r="J9" s="175"/>
      <c r="K9" s="175"/>
      <c r="L9" s="176"/>
    </row>
    <row r="10" spans="1:12" ht="17.149999999999999" customHeight="1" x14ac:dyDescent="0.3">
      <c r="A10" s="12" t="s">
        <v>85</v>
      </c>
      <c r="B10" s="12"/>
      <c r="C10" s="174"/>
      <c r="D10" s="174"/>
      <c r="E10" s="174"/>
      <c r="F10" s="174"/>
      <c r="H10" s="12" t="s">
        <v>3</v>
      </c>
      <c r="I10" s="174"/>
      <c r="J10" s="175"/>
      <c r="K10" s="175"/>
      <c r="L10" s="176"/>
    </row>
    <row r="11" spans="1:12" ht="17.149999999999999" customHeight="1" x14ac:dyDescent="0.3">
      <c r="H11" s="12" t="s">
        <v>4</v>
      </c>
      <c r="I11" s="174"/>
      <c r="J11" s="175"/>
      <c r="K11" s="175"/>
      <c r="L11" s="176"/>
    </row>
    <row r="12" spans="1:12" ht="17.149999999999999" customHeight="1" x14ac:dyDescent="0.3">
      <c r="H12" s="12" t="s">
        <v>5</v>
      </c>
      <c r="I12" s="174"/>
      <c r="J12" s="175"/>
      <c r="K12" s="175"/>
      <c r="L12" s="176"/>
    </row>
    <row r="13" spans="1:12" ht="17.149999999999999" customHeight="1" x14ac:dyDescent="0.3">
      <c r="H13" s="12" t="s">
        <v>142</v>
      </c>
      <c r="I13" s="174"/>
      <c r="J13" s="175"/>
      <c r="K13" s="175"/>
      <c r="L13" s="176"/>
    </row>
    <row r="14" spans="1:12" ht="17.149999999999999" customHeight="1" x14ac:dyDescent="0.3">
      <c r="H14" s="12" t="s">
        <v>143</v>
      </c>
      <c r="I14" s="174"/>
      <c r="J14" s="175"/>
      <c r="K14" s="175"/>
      <c r="L14" s="176"/>
    </row>
    <row r="15" spans="1:12" ht="17.149999999999999" customHeight="1" x14ac:dyDescent="0.3">
      <c r="H15" s="12" t="s">
        <v>144</v>
      </c>
      <c r="I15" s="174"/>
      <c r="J15" s="175"/>
      <c r="K15" s="175"/>
      <c r="L15" s="176"/>
    </row>
    <row r="16" spans="1:12" ht="9" customHeight="1" x14ac:dyDescent="0.3">
      <c r="H16" s="3"/>
      <c r="I16" s="3"/>
      <c r="J16" s="3"/>
      <c r="K16" s="3"/>
      <c r="L16" s="3"/>
    </row>
    <row r="17" spans="1:12" ht="17.149999999999999" customHeight="1" x14ac:dyDescent="0.3">
      <c r="A17" s="74" t="s">
        <v>48</v>
      </c>
      <c r="B17" s="3"/>
      <c r="C17" s="3"/>
      <c r="D17" s="3"/>
      <c r="E17" s="3"/>
      <c r="F17" s="3"/>
      <c r="G17" s="3"/>
      <c r="H17" s="3"/>
      <c r="I17" s="3"/>
      <c r="J17" s="3"/>
      <c r="K17" s="75"/>
      <c r="L17" s="76"/>
    </row>
    <row r="18" spans="1:12" ht="18" customHeight="1" x14ac:dyDescent="0.3">
      <c r="A18" s="25"/>
      <c r="K18" s="24"/>
      <c r="L18" s="77"/>
    </row>
    <row r="19" spans="1:12" ht="39" customHeight="1" x14ac:dyDescent="0.3">
      <c r="A19" s="25"/>
      <c r="L19" s="26"/>
    </row>
    <row r="20" spans="1:12" ht="18" customHeight="1" x14ac:dyDescent="0.3">
      <c r="A20" s="129" t="s">
        <v>64</v>
      </c>
      <c r="B20" s="130"/>
      <c r="C20" s="91"/>
      <c r="D20" s="12"/>
      <c r="E20" s="12"/>
      <c r="F20" s="12"/>
      <c r="G20" s="12"/>
      <c r="H20" s="12"/>
      <c r="I20" s="12"/>
      <c r="J20" s="12"/>
      <c r="K20" s="131"/>
      <c r="L20" s="132"/>
    </row>
    <row r="21" spans="1:12" ht="19.5" customHeight="1" x14ac:dyDescent="0.3">
      <c r="A21" s="7" t="s">
        <v>67</v>
      </c>
    </row>
    <row r="22" spans="1:12" ht="15" customHeight="1" x14ac:dyDescent="0.3">
      <c r="G22" s="26"/>
      <c r="H22" s="122" t="s">
        <v>78</v>
      </c>
      <c r="I22" s="78"/>
      <c r="K22" s="17" t="s">
        <v>79</v>
      </c>
    </row>
    <row r="23" spans="1:12" ht="15" customHeight="1" x14ac:dyDescent="0.3">
      <c r="B23" s="110" t="s">
        <v>74</v>
      </c>
      <c r="C23" s="69"/>
      <c r="D23" s="83"/>
      <c r="E23" s="154"/>
      <c r="F23" s="111">
        <v>0.5</v>
      </c>
      <c r="G23" s="123"/>
      <c r="H23" s="154"/>
      <c r="I23" s="113"/>
      <c r="J23" s="114"/>
      <c r="K23" s="115">
        <f>F23*H23</f>
        <v>0</v>
      </c>
    </row>
    <row r="24" spans="1:12" ht="15" customHeight="1" x14ac:dyDescent="0.3">
      <c r="B24" s="110" t="s">
        <v>75</v>
      </c>
      <c r="C24" s="69"/>
      <c r="D24" s="83"/>
      <c r="E24" s="154"/>
      <c r="F24" s="111">
        <v>0.3</v>
      </c>
      <c r="G24" s="123"/>
      <c r="H24" s="154"/>
      <c r="I24" s="113"/>
      <c r="J24" s="114"/>
      <c r="K24" s="115">
        <f>F24*H24</f>
        <v>0</v>
      </c>
    </row>
    <row r="25" spans="1:12" ht="15" customHeight="1" x14ac:dyDescent="0.3">
      <c r="B25" s="110" t="s">
        <v>76</v>
      </c>
      <c r="C25" s="69"/>
      <c r="D25" s="83"/>
      <c r="E25" s="154"/>
      <c r="F25" s="111">
        <v>0.1</v>
      </c>
      <c r="G25" s="123"/>
      <c r="H25" s="154"/>
      <c r="I25" s="113"/>
      <c r="J25" s="114"/>
      <c r="K25" s="115">
        <f>F25*H25</f>
        <v>0</v>
      </c>
    </row>
    <row r="26" spans="1:12" ht="14" thickBot="1" x14ac:dyDescent="0.35">
      <c r="B26" s="69" t="s">
        <v>77</v>
      </c>
      <c r="C26" s="70"/>
      <c r="D26" s="70"/>
      <c r="E26" s="84">
        <f>SUM(E23:E25)</f>
        <v>0</v>
      </c>
      <c r="F26" s="114"/>
      <c r="G26" s="21"/>
      <c r="H26" s="21"/>
      <c r="I26" s="21"/>
      <c r="J26" s="21"/>
      <c r="K26" s="21"/>
    </row>
    <row r="27" spans="1:12" ht="21" customHeight="1" thickBot="1" x14ac:dyDescent="0.35">
      <c r="G27" s="94" t="s">
        <v>80</v>
      </c>
      <c r="H27" s="10"/>
      <c r="I27" s="10"/>
      <c r="J27" s="124"/>
      <c r="K27" s="125">
        <f>IF(SUM(K23:K26)&gt;10,10,SUM(K23:K26))</f>
        <v>0</v>
      </c>
      <c r="L27" s="97">
        <v>0.3</v>
      </c>
    </row>
    <row r="28" spans="1:12" ht="23.25" customHeight="1" x14ac:dyDescent="0.3">
      <c r="A28" s="4" t="s">
        <v>68</v>
      </c>
    </row>
    <row r="29" spans="1:12" ht="8.25" customHeight="1" x14ac:dyDescent="0.3">
      <c r="B29" s="21"/>
      <c r="C29" s="21"/>
      <c r="D29" s="21"/>
      <c r="E29" s="21"/>
      <c r="F29" s="21"/>
      <c r="G29" s="21"/>
      <c r="H29" s="80"/>
      <c r="I29" s="78"/>
      <c r="J29" s="81"/>
      <c r="K29" s="82"/>
    </row>
    <row r="30" spans="1:12" ht="15" customHeight="1" x14ac:dyDescent="0.3">
      <c r="B30" s="69" t="s">
        <v>70</v>
      </c>
      <c r="C30" s="70"/>
      <c r="D30" s="83"/>
      <c r="E30" s="154"/>
      <c r="F30" s="69" t="s">
        <v>73</v>
      </c>
      <c r="G30" s="83"/>
      <c r="H30" s="85">
        <f>E26</f>
        <v>0</v>
      </c>
      <c r="I30" s="86">
        <f>IFERROR(E30/H30,10)</f>
        <v>10</v>
      </c>
      <c r="J30" s="81"/>
      <c r="K30" s="87">
        <f>10-I30</f>
        <v>0</v>
      </c>
    </row>
    <row r="31" spans="1:12" ht="8.25" customHeight="1" x14ac:dyDescent="0.3">
      <c r="B31" s="21"/>
      <c r="C31" s="21"/>
      <c r="D31" s="21"/>
      <c r="E31" s="21"/>
      <c r="F31" s="21"/>
      <c r="G31" s="21"/>
      <c r="H31" s="80"/>
      <c r="I31" s="78"/>
      <c r="J31" s="81"/>
      <c r="K31" s="82"/>
    </row>
    <row r="32" spans="1:12" x14ac:dyDescent="0.3">
      <c r="I32" s="88"/>
      <c r="J32" s="89"/>
      <c r="K32" s="90"/>
    </row>
    <row r="33" spans="1:12" ht="15" customHeight="1" x14ac:dyDescent="0.3">
      <c r="E33" s="91" t="s">
        <v>64</v>
      </c>
      <c r="F33" s="12"/>
      <c r="G33" s="12"/>
      <c r="H33" s="12"/>
      <c r="I33" s="92"/>
      <c r="J33" s="93"/>
      <c r="K33" s="155"/>
    </row>
    <row r="34" spans="1:12" ht="7.5" customHeight="1" thickBot="1" x14ac:dyDescent="0.35">
      <c r="K34" s="90"/>
      <c r="L34" s="79"/>
    </row>
    <row r="35" spans="1:12" ht="20.25" customHeight="1" thickBot="1" x14ac:dyDescent="0.35">
      <c r="G35" s="94" t="s">
        <v>71</v>
      </c>
      <c r="H35" s="10"/>
      <c r="I35" s="10"/>
      <c r="J35" s="95"/>
      <c r="K35" s="96">
        <f>K30-K33</f>
        <v>0</v>
      </c>
      <c r="L35" s="97">
        <v>0.7</v>
      </c>
    </row>
    <row r="36" spans="1:12" ht="11.25" customHeight="1" thickBot="1" x14ac:dyDescent="0.35"/>
    <row r="37" spans="1:12" ht="20.25" customHeight="1" thickBot="1" x14ac:dyDescent="0.35">
      <c r="I37" s="71" t="s">
        <v>72</v>
      </c>
      <c r="J37" s="98"/>
      <c r="K37" s="98"/>
      <c r="L37" s="126">
        <f>ROUND(K27*0.3 + K35*0.7,3)</f>
        <v>0</v>
      </c>
    </row>
    <row r="38" spans="1:12" x14ac:dyDescent="0.3">
      <c r="L38" s="127"/>
    </row>
    <row r="39" spans="1:12" x14ac:dyDescent="0.3">
      <c r="L39" s="127"/>
    </row>
    <row r="40" spans="1:12" x14ac:dyDescent="0.3">
      <c r="L40" s="127"/>
    </row>
    <row r="45" spans="1:12" x14ac:dyDescent="0.3">
      <c r="A45" s="2" t="s">
        <v>31</v>
      </c>
      <c r="B45" s="40"/>
      <c r="C45" s="40"/>
      <c r="D45" s="40"/>
      <c r="E45" s="40"/>
      <c r="H45" s="2" t="s">
        <v>32</v>
      </c>
      <c r="I45" s="2"/>
      <c r="J45" s="2"/>
      <c r="K45" s="2"/>
      <c r="L45" s="2"/>
    </row>
  </sheetData>
  <mergeCells count="14">
    <mergeCell ref="C10:F10"/>
    <mergeCell ref="I10:L10"/>
    <mergeCell ref="I11:L11"/>
    <mergeCell ref="I15:L15"/>
    <mergeCell ref="C5:F5"/>
    <mergeCell ref="C6:F6"/>
    <mergeCell ref="I7:L7"/>
    <mergeCell ref="C8:F8"/>
    <mergeCell ref="I8:L8"/>
    <mergeCell ref="C9:F9"/>
    <mergeCell ref="I9:L9"/>
    <mergeCell ref="I14:L14"/>
    <mergeCell ref="I12:L12"/>
    <mergeCell ref="I13:L13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&amp;R2019-06-01
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5"/>
  <sheetViews>
    <sheetView showZeros="0" view="pageLayout" topLeftCell="A2" zoomScaleNormal="100" workbookViewId="0">
      <selection activeCell="K33" sqref="K33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1.36328125" style="1" customWidth="1"/>
    <col min="5" max="7" width="7.26953125" style="1" customWidth="1"/>
    <col min="8" max="8" width="7" style="1" customWidth="1"/>
    <col min="9" max="9" width="7.26953125" style="1" customWidth="1"/>
    <col min="10" max="10" width="6.269531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2.5" customHeight="1" thickBot="1" x14ac:dyDescent="0.35">
      <c r="A2" s="7" t="s">
        <v>148</v>
      </c>
      <c r="H2" s="9"/>
      <c r="I2" s="13" t="s">
        <v>88</v>
      </c>
      <c r="J2" s="10"/>
      <c r="K2" s="11"/>
      <c r="L2" s="11"/>
    </row>
    <row r="3" spans="1:12" ht="24" customHeight="1" thickBot="1" x14ac:dyDescent="0.35">
      <c r="A3" s="4" t="s">
        <v>65</v>
      </c>
      <c r="H3" s="9"/>
      <c r="I3" s="13" t="s">
        <v>89</v>
      </c>
      <c r="J3" s="10"/>
      <c r="K3" s="11"/>
      <c r="L3" s="11"/>
    </row>
    <row r="4" spans="1:12" ht="24" customHeight="1" thickBot="1" x14ac:dyDescent="0.35">
      <c r="A4" s="2" t="s">
        <v>13</v>
      </c>
      <c r="B4" s="2"/>
      <c r="C4" s="150"/>
      <c r="D4" s="8"/>
      <c r="E4" s="8"/>
      <c r="F4" s="8"/>
      <c r="H4" s="9"/>
      <c r="I4" s="13" t="s">
        <v>82</v>
      </c>
      <c r="J4" s="10"/>
      <c r="K4" s="11"/>
      <c r="L4" s="161"/>
    </row>
    <row r="5" spans="1:12" ht="24" customHeight="1" thickBot="1" x14ac:dyDescent="0.35">
      <c r="A5" s="12" t="s">
        <v>14</v>
      </c>
      <c r="B5" s="12"/>
      <c r="C5" s="174"/>
      <c r="D5" s="174"/>
      <c r="E5" s="174"/>
      <c r="F5" s="174"/>
      <c r="H5" s="9"/>
      <c r="I5" s="13" t="s">
        <v>12</v>
      </c>
      <c r="J5" s="128"/>
      <c r="K5" s="11"/>
      <c r="L5" s="11"/>
    </row>
    <row r="6" spans="1:12" ht="19.5" customHeight="1" x14ac:dyDescent="0.3">
      <c r="A6" s="12" t="s">
        <v>15</v>
      </c>
      <c r="B6" s="12"/>
      <c r="C6" s="174"/>
      <c r="D6" s="174"/>
      <c r="E6" s="174"/>
      <c r="F6" s="174"/>
      <c r="H6" s="1" t="s">
        <v>17</v>
      </c>
    </row>
    <row r="7" spans="1:12" ht="17.149999999999999" customHeight="1" x14ac:dyDescent="0.3">
      <c r="A7" s="12" t="s">
        <v>87</v>
      </c>
      <c r="B7" s="12"/>
      <c r="C7" s="92"/>
      <c r="D7" s="92"/>
      <c r="E7" s="92"/>
      <c r="F7" s="92"/>
      <c r="H7" s="2" t="s">
        <v>0</v>
      </c>
      <c r="I7" s="177"/>
      <c r="J7" s="178"/>
      <c r="K7" s="178"/>
      <c r="L7" s="179"/>
    </row>
    <row r="8" spans="1:12" ht="17.149999999999999" customHeight="1" x14ac:dyDescent="0.3">
      <c r="A8" s="2" t="s">
        <v>6</v>
      </c>
      <c r="B8" s="2"/>
      <c r="C8" s="177"/>
      <c r="D8" s="177"/>
      <c r="E8" s="177"/>
      <c r="F8" s="177"/>
      <c r="H8" s="12" t="s">
        <v>1</v>
      </c>
      <c r="I8" s="174"/>
      <c r="J8" s="175"/>
      <c r="K8" s="175"/>
      <c r="L8" s="176"/>
    </row>
    <row r="9" spans="1:12" ht="17.149999999999999" customHeight="1" x14ac:dyDescent="0.3">
      <c r="A9" s="12" t="s">
        <v>16</v>
      </c>
      <c r="B9" s="12"/>
      <c r="C9" s="174"/>
      <c r="D9" s="174"/>
      <c r="E9" s="174"/>
      <c r="F9" s="174"/>
      <c r="H9" s="12" t="s">
        <v>2</v>
      </c>
      <c r="I9" s="174"/>
      <c r="J9" s="175"/>
      <c r="K9" s="175"/>
      <c r="L9" s="176"/>
    </row>
    <row r="10" spans="1:12" ht="17.149999999999999" customHeight="1" x14ac:dyDescent="0.3">
      <c r="A10" s="12" t="s">
        <v>85</v>
      </c>
      <c r="B10" s="12"/>
      <c r="C10" s="174"/>
      <c r="D10" s="174"/>
      <c r="E10" s="174"/>
      <c r="F10" s="174"/>
      <c r="H10" s="12" t="s">
        <v>3</v>
      </c>
      <c r="I10" s="174"/>
      <c r="J10" s="175"/>
      <c r="K10" s="175"/>
      <c r="L10" s="176"/>
    </row>
    <row r="11" spans="1:12" ht="17.149999999999999" customHeight="1" x14ac:dyDescent="0.3">
      <c r="H11" s="12" t="s">
        <v>4</v>
      </c>
      <c r="I11" s="174"/>
      <c r="J11" s="175"/>
      <c r="K11" s="175"/>
      <c r="L11" s="176"/>
    </row>
    <row r="12" spans="1:12" ht="17.149999999999999" customHeight="1" x14ac:dyDescent="0.3">
      <c r="H12" s="12" t="s">
        <v>5</v>
      </c>
      <c r="I12" s="92"/>
      <c r="J12" s="12"/>
      <c r="K12" s="12"/>
      <c r="L12" s="130"/>
    </row>
    <row r="13" spans="1:12" ht="17.149999999999999" customHeight="1" x14ac:dyDescent="0.3">
      <c r="H13" s="12" t="s">
        <v>142</v>
      </c>
      <c r="I13" s="92"/>
      <c r="J13" s="12"/>
      <c r="K13" s="12"/>
      <c r="L13" s="130"/>
    </row>
    <row r="14" spans="1:12" ht="17.149999999999999" customHeight="1" x14ac:dyDescent="0.3">
      <c r="H14" s="12" t="s">
        <v>143</v>
      </c>
      <c r="I14" s="92"/>
      <c r="J14" s="12"/>
      <c r="K14" s="12"/>
      <c r="L14" s="130"/>
    </row>
    <row r="15" spans="1:12" ht="17.149999999999999" customHeight="1" x14ac:dyDescent="0.3">
      <c r="H15" s="12" t="s">
        <v>144</v>
      </c>
      <c r="I15" s="92"/>
      <c r="J15" s="12"/>
      <c r="K15" s="12"/>
      <c r="L15" s="130"/>
    </row>
    <row r="16" spans="1:12" ht="9" customHeight="1" x14ac:dyDescent="0.3">
      <c r="H16" s="3"/>
      <c r="I16" s="3"/>
      <c r="J16" s="3"/>
      <c r="K16" s="3"/>
      <c r="L16" s="3"/>
    </row>
    <row r="17" spans="1:12" ht="17.149999999999999" customHeight="1" x14ac:dyDescent="0.3">
      <c r="A17" s="74" t="s">
        <v>48</v>
      </c>
      <c r="B17" s="3"/>
      <c r="C17" s="3"/>
      <c r="D17" s="3"/>
      <c r="E17" s="3"/>
      <c r="F17" s="3"/>
      <c r="G17" s="3"/>
      <c r="H17" s="3"/>
      <c r="I17" s="3"/>
      <c r="J17" s="3"/>
      <c r="K17" s="75"/>
      <c r="L17" s="76"/>
    </row>
    <row r="18" spans="1:12" ht="18" customHeigh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49"/>
      <c r="K18" s="249"/>
      <c r="L18" s="250"/>
    </row>
    <row r="19" spans="1:12" ht="39" customHeight="1" x14ac:dyDescent="0.3">
      <c r="A19" s="251"/>
      <c r="B19" s="252"/>
      <c r="C19" s="252"/>
      <c r="D19" s="252"/>
      <c r="E19" s="252"/>
      <c r="F19" s="252"/>
      <c r="G19" s="252"/>
      <c r="H19" s="252"/>
      <c r="I19" s="252"/>
      <c r="J19" s="252"/>
      <c r="K19" s="252"/>
      <c r="L19" s="253"/>
    </row>
    <row r="20" spans="1:12" ht="18" customHeight="1" x14ac:dyDescent="0.3">
      <c r="A20" s="129" t="s">
        <v>64</v>
      </c>
      <c r="B20" s="130"/>
      <c r="C20" s="91"/>
      <c r="D20" s="12"/>
      <c r="E20" s="155"/>
      <c r="F20" s="155"/>
      <c r="G20" s="155"/>
      <c r="H20" s="155"/>
      <c r="I20" s="155"/>
      <c r="J20" s="155"/>
      <c r="K20" s="131"/>
      <c r="L20" s="132"/>
    </row>
    <row r="21" spans="1:12" ht="19.5" customHeight="1" x14ac:dyDescent="0.3">
      <c r="A21" s="7" t="s">
        <v>67</v>
      </c>
    </row>
    <row r="22" spans="1:12" ht="15" customHeight="1" x14ac:dyDescent="0.3">
      <c r="G22" s="26"/>
      <c r="H22" s="122" t="s">
        <v>78</v>
      </c>
      <c r="I22" s="78"/>
      <c r="K22" s="17" t="s">
        <v>79</v>
      </c>
    </row>
    <row r="23" spans="1:12" ht="15" customHeight="1" x14ac:dyDescent="0.3">
      <c r="B23" s="110" t="s">
        <v>74</v>
      </c>
      <c r="C23" s="69"/>
      <c r="D23" s="83"/>
      <c r="E23" s="154">
        <f>LEN(A$18)-LEN(SUBSTITUTE(A$18,"D",""))+LEN(A$18)-LEN(SUBSTITUTE(A$18,"S",""))</f>
        <v>0</v>
      </c>
      <c r="F23" s="111">
        <v>0.5</v>
      </c>
      <c r="G23" s="123"/>
      <c r="H23" s="154"/>
      <c r="I23" s="113"/>
      <c r="J23" s="114"/>
      <c r="K23" s="115">
        <f>F23*H23</f>
        <v>0</v>
      </c>
    </row>
    <row r="24" spans="1:12" ht="15" customHeight="1" x14ac:dyDescent="0.3">
      <c r="B24" s="110" t="s">
        <v>75</v>
      </c>
      <c r="C24" s="69"/>
      <c r="D24" s="83"/>
      <c r="E24" s="154">
        <f>LEN(A$18)-LEN(SUBSTITUTE(A$18,"M",""))</f>
        <v>0</v>
      </c>
      <c r="F24" s="111">
        <v>0.3</v>
      </c>
      <c r="G24" s="123"/>
      <c r="H24" s="154"/>
      <c r="I24" s="113"/>
      <c r="J24" s="114"/>
      <c r="K24" s="115">
        <f>F24*H24</f>
        <v>0</v>
      </c>
    </row>
    <row r="25" spans="1:12" ht="15" customHeight="1" x14ac:dyDescent="0.3">
      <c r="B25" s="110" t="s">
        <v>76</v>
      </c>
      <c r="C25" s="69"/>
      <c r="D25" s="83"/>
      <c r="E25" s="154">
        <f>LEN(A$18)-LEN(SUBSTITUTE(A$18,"E",""))+LEN(A$18)-LEN(SUBSTITUTE(A$18,"L",""))</f>
        <v>0</v>
      </c>
      <c r="F25" s="111">
        <v>0.1</v>
      </c>
      <c r="G25" s="123"/>
      <c r="H25" s="154"/>
      <c r="I25" s="113"/>
      <c r="J25" s="114"/>
      <c r="K25" s="115">
        <f>F25*H25</f>
        <v>0</v>
      </c>
    </row>
    <row r="26" spans="1:12" ht="14" thickBot="1" x14ac:dyDescent="0.35">
      <c r="B26" s="69" t="s">
        <v>77</v>
      </c>
      <c r="C26" s="70"/>
      <c r="D26" s="70"/>
      <c r="E26" s="84">
        <f>SUM(E23:E25)</f>
        <v>0</v>
      </c>
      <c r="F26" s="114"/>
      <c r="G26" s="21"/>
      <c r="H26" s="21"/>
      <c r="I26" s="21"/>
      <c r="J26" s="21"/>
      <c r="K26" s="21"/>
    </row>
    <row r="27" spans="1:12" ht="21" customHeight="1" thickBot="1" x14ac:dyDescent="0.35">
      <c r="G27" s="94" t="s">
        <v>80</v>
      </c>
      <c r="H27" s="10"/>
      <c r="I27" s="10"/>
      <c r="J27" s="124"/>
      <c r="K27" s="125">
        <f>IF(SUM(K23:K26)&gt;10,10,SUM(K23:K26))</f>
        <v>0</v>
      </c>
      <c r="L27" s="97">
        <v>0.3</v>
      </c>
    </row>
    <row r="28" spans="1:12" ht="23.25" customHeight="1" x14ac:dyDescent="0.3">
      <c r="A28" s="4" t="s">
        <v>68</v>
      </c>
    </row>
    <row r="29" spans="1:12" ht="8.25" customHeight="1" x14ac:dyDescent="0.3">
      <c r="B29" s="21"/>
      <c r="C29" s="21"/>
      <c r="D29" s="21"/>
      <c r="E29" s="21"/>
      <c r="F29" s="21"/>
      <c r="G29" s="21"/>
      <c r="H29" s="80"/>
      <c r="I29" s="78"/>
      <c r="J29" s="81"/>
      <c r="K29" s="82"/>
    </row>
    <row r="30" spans="1:12" ht="15" customHeight="1" x14ac:dyDescent="0.3">
      <c r="B30" s="69" t="s">
        <v>70</v>
      </c>
      <c r="C30" s="70"/>
      <c r="D30" s="83"/>
      <c r="E30" s="154">
        <f xml:space="preserve"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f>
        <v>0</v>
      </c>
      <c r="F30" s="69" t="s">
        <v>73</v>
      </c>
      <c r="G30" s="83"/>
      <c r="H30" s="85">
        <f>E26</f>
        <v>0</v>
      </c>
      <c r="I30" s="86">
        <f>IFERROR(E30/H30,10)</f>
        <v>10</v>
      </c>
      <c r="J30" s="81"/>
      <c r="K30" s="87">
        <f>10-I30</f>
        <v>0</v>
      </c>
    </row>
    <row r="31" spans="1:12" ht="8.25" customHeight="1" x14ac:dyDescent="0.3">
      <c r="B31" s="21"/>
      <c r="C31" s="21"/>
      <c r="D31" s="21"/>
      <c r="E31" s="21"/>
      <c r="F31" s="21"/>
      <c r="G31" s="21"/>
      <c r="H31" s="80"/>
      <c r="I31" s="78"/>
      <c r="J31" s="81"/>
      <c r="K31" s="82"/>
    </row>
    <row r="32" spans="1:12" x14ac:dyDescent="0.3">
      <c r="I32" s="88"/>
      <c r="J32" s="89"/>
      <c r="K32" s="90"/>
    </row>
    <row r="33" spans="1:12" ht="15" customHeight="1" x14ac:dyDescent="0.3">
      <c r="E33" s="91" t="s">
        <v>64</v>
      </c>
      <c r="F33" s="12"/>
      <c r="G33" s="12"/>
      <c r="H33" s="12"/>
      <c r="I33" s="92"/>
      <c r="J33" s="93"/>
      <c r="K33" s="170">
        <f>SUM(E20:J20)</f>
        <v>0</v>
      </c>
    </row>
    <row r="34" spans="1:12" ht="7.5" customHeight="1" thickBot="1" x14ac:dyDescent="0.35">
      <c r="K34" s="90"/>
      <c r="L34" s="79"/>
    </row>
    <row r="35" spans="1:12" ht="20.25" customHeight="1" thickBot="1" x14ac:dyDescent="0.35">
      <c r="G35" s="94" t="s">
        <v>71</v>
      </c>
      <c r="H35" s="10"/>
      <c r="I35" s="10"/>
      <c r="J35" s="95"/>
      <c r="K35" s="96">
        <f>K30-K33</f>
        <v>0</v>
      </c>
      <c r="L35" s="97">
        <v>0.7</v>
      </c>
    </row>
    <row r="36" spans="1:12" ht="11.25" customHeight="1" thickBot="1" x14ac:dyDescent="0.35"/>
    <row r="37" spans="1:12" ht="20.25" customHeight="1" thickBot="1" x14ac:dyDescent="0.35">
      <c r="I37" s="71" t="s">
        <v>72</v>
      </c>
      <c r="J37" s="98"/>
      <c r="K37" s="98"/>
      <c r="L37" s="126">
        <f>ROUND(K27*0.3 + K35*0.7,3)</f>
        <v>0</v>
      </c>
    </row>
    <row r="38" spans="1:12" x14ac:dyDescent="0.3">
      <c r="L38" s="127"/>
    </row>
    <row r="39" spans="1:12" x14ac:dyDescent="0.3">
      <c r="L39" s="127"/>
    </row>
    <row r="40" spans="1:12" x14ac:dyDescent="0.3">
      <c r="L40" s="127"/>
    </row>
    <row r="45" spans="1:12" x14ac:dyDescent="0.3">
      <c r="A45" s="2" t="s">
        <v>31</v>
      </c>
      <c r="B45" s="40"/>
      <c r="C45" s="40"/>
      <c r="D45" s="40"/>
      <c r="E45" s="40"/>
      <c r="H45" s="2" t="s">
        <v>32</v>
      </c>
      <c r="I45" s="2"/>
      <c r="J45" s="2"/>
      <c r="K45" s="2"/>
      <c r="L45" s="2"/>
    </row>
  </sheetData>
  <mergeCells count="11">
    <mergeCell ref="C5:F5"/>
    <mergeCell ref="I7:L7"/>
    <mergeCell ref="I8:L8"/>
    <mergeCell ref="C6:F6"/>
    <mergeCell ref="I9:L9"/>
    <mergeCell ref="C9:F9"/>
    <mergeCell ref="A18:L19"/>
    <mergeCell ref="C10:F10"/>
    <mergeCell ref="C8:F8"/>
    <mergeCell ref="I11:L11"/>
    <mergeCell ref="I10:L10"/>
  </mergeCells>
  <phoneticPr fontId="1" type="noConversion"/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>&amp;R&amp;8 2024-01-28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5"/>
  <sheetViews>
    <sheetView showZeros="0" view="pageLayout" topLeftCell="A3" zoomScaleNormal="100" workbookViewId="0">
      <selection activeCell="E20" sqref="E20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1.6328125" style="1" customWidth="1"/>
    <col min="5" max="7" width="7.26953125" style="1" customWidth="1"/>
    <col min="8" max="8" width="7" style="1" customWidth="1"/>
    <col min="9" max="9" width="7.26953125" style="1" customWidth="1"/>
    <col min="10" max="10" width="7.179687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2.5" customHeight="1" thickBot="1" x14ac:dyDescent="0.35">
      <c r="A2" s="7" t="s">
        <v>129</v>
      </c>
      <c r="H2" s="9"/>
      <c r="I2" s="13" t="s">
        <v>88</v>
      </c>
      <c r="J2" s="10"/>
      <c r="K2" s="11"/>
      <c r="L2" s="11"/>
    </row>
    <row r="3" spans="1:12" ht="24" customHeight="1" thickBot="1" x14ac:dyDescent="0.35">
      <c r="A3" s="4" t="s">
        <v>65</v>
      </c>
      <c r="H3" s="9"/>
      <c r="I3" s="13" t="s">
        <v>89</v>
      </c>
      <c r="J3" s="10"/>
      <c r="K3" s="11"/>
      <c r="L3" s="11"/>
    </row>
    <row r="4" spans="1:12" ht="24" customHeight="1" thickBot="1" x14ac:dyDescent="0.35">
      <c r="A4" s="2" t="s">
        <v>13</v>
      </c>
      <c r="B4" s="2"/>
      <c r="C4" s="150"/>
      <c r="D4" s="8"/>
      <c r="E4" s="8"/>
      <c r="F4" s="8"/>
      <c r="H4" s="9"/>
      <c r="I4" s="13" t="s">
        <v>82</v>
      </c>
      <c r="J4" s="10"/>
      <c r="K4" s="11"/>
      <c r="L4" s="161"/>
    </row>
    <row r="5" spans="1:12" ht="24" customHeight="1" thickBot="1" x14ac:dyDescent="0.35">
      <c r="A5" s="12" t="s">
        <v>14</v>
      </c>
      <c r="B5" s="12"/>
      <c r="C5" s="174"/>
      <c r="D5" s="174"/>
      <c r="E5" s="174"/>
      <c r="F5" s="174"/>
      <c r="H5" s="9"/>
      <c r="I5" s="13" t="s">
        <v>12</v>
      </c>
      <c r="J5" s="128"/>
      <c r="K5" s="11"/>
      <c r="L5" s="11"/>
    </row>
    <row r="6" spans="1:12" ht="19.5" customHeight="1" x14ac:dyDescent="0.3">
      <c r="A6" s="12" t="s">
        <v>15</v>
      </c>
      <c r="B6" s="12"/>
      <c r="C6" s="174"/>
      <c r="D6" s="174"/>
      <c r="E6" s="174"/>
      <c r="F6" s="174"/>
      <c r="H6" s="1" t="s">
        <v>17</v>
      </c>
    </row>
    <row r="7" spans="1:12" ht="17.149999999999999" customHeight="1" x14ac:dyDescent="0.3">
      <c r="A7" s="12" t="s">
        <v>87</v>
      </c>
      <c r="B7" s="12"/>
      <c r="C7" s="92"/>
      <c r="D7" s="92"/>
      <c r="E7" s="92"/>
      <c r="F7" s="92"/>
      <c r="H7" s="2" t="s">
        <v>0</v>
      </c>
      <c r="I7" s="177"/>
      <c r="J7" s="178"/>
      <c r="K7" s="178"/>
      <c r="L7" s="179"/>
    </row>
    <row r="8" spans="1:12" ht="17.149999999999999" customHeight="1" x14ac:dyDescent="0.3">
      <c r="A8" s="2" t="s">
        <v>6</v>
      </c>
      <c r="B8" s="2"/>
      <c r="C8" s="177"/>
      <c r="D8" s="177"/>
      <c r="E8" s="177"/>
      <c r="F8" s="177"/>
      <c r="H8" s="12" t="s">
        <v>1</v>
      </c>
      <c r="I8" s="174"/>
      <c r="J8" s="175"/>
      <c r="K8" s="175"/>
      <c r="L8" s="176"/>
    </row>
    <row r="9" spans="1:12" ht="17.149999999999999" customHeight="1" x14ac:dyDescent="0.3">
      <c r="A9" s="12" t="s">
        <v>16</v>
      </c>
      <c r="B9" s="12"/>
      <c r="C9" s="174"/>
      <c r="D9" s="174"/>
      <c r="E9" s="174"/>
      <c r="F9" s="174"/>
      <c r="H9" s="12" t="s">
        <v>2</v>
      </c>
      <c r="I9" s="174"/>
      <c r="J9" s="175"/>
      <c r="K9" s="175"/>
      <c r="L9" s="176"/>
    </row>
    <row r="10" spans="1:12" ht="17.149999999999999" customHeight="1" x14ac:dyDescent="0.3">
      <c r="A10" s="12" t="s">
        <v>85</v>
      </c>
      <c r="B10" s="12"/>
      <c r="C10" s="174"/>
      <c r="D10" s="174"/>
      <c r="E10" s="174"/>
      <c r="F10" s="174"/>
      <c r="H10" s="12" t="s">
        <v>3</v>
      </c>
      <c r="I10" s="174"/>
      <c r="J10" s="175"/>
      <c r="K10" s="175"/>
      <c r="L10" s="176"/>
    </row>
    <row r="11" spans="1:12" ht="17.149999999999999" customHeight="1" x14ac:dyDescent="0.3">
      <c r="H11" s="12" t="s">
        <v>4</v>
      </c>
      <c r="I11" s="174"/>
      <c r="J11" s="175"/>
      <c r="K11" s="175"/>
      <c r="L11" s="176"/>
    </row>
    <row r="12" spans="1:12" ht="17.149999999999999" customHeight="1" x14ac:dyDescent="0.3">
      <c r="H12" s="12" t="s">
        <v>5</v>
      </c>
      <c r="I12" s="174"/>
      <c r="J12" s="175"/>
      <c r="K12" s="175"/>
      <c r="L12" s="176"/>
    </row>
    <row r="13" spans="1:12" ht="17.149999999999999" customHeight="1" x14ac:dyDescent="0.3">
      <c r="H13" s="12" t="s">
        <v>142</v>
      </c>
      <c r="I13" s="174"/>
      <c r="J13" s="175"/>
      <c r="K13" s="175"/>
      <c r="L13" s="176"/>
    </row>
    <row r="14" spans="1:12" ht="17.149999999999999" customHeight="1" x14ac:dyDescent="0.3">
      <c r="H14" s="12" t="s">
        <v>143</v>
      </c>
      <c r="I14" s="174"/>
      <c r="J14" s="175"/>
      <c r="K14" s="175"/>
      <c r="L14" s="176"/>
    </row>
    <row r="15" spans="1:12" ht="17.149999999999999" customHeight="1" x14ac:dyDescent="0.3">
      <c r="H15" s="12" t="s">
        <v>144</v>
      </c>
      <c r="I15" s="174"/>
      <c r="J15" s="175"/>
      <c r="K15" s="175"/>
      <c r="L15" s="176"/>
    </row>
    <row r="16" spans="1:12" ht="9" customHeight="1" x14ac:dyDescent="0.3">
      <c r="H16" s="3"/>
      <c r="I16" s="3"/>
      <c r="J16" s="3"/>
      <c r="K16" s="3"/>
      <c r="L16" s="3"/>
    </row>
    <row r="17" spans="1:12" ht="17.149999999999999" customHeight="1" x14ac:dyDescent="0.3">
      <c r="A17" s="74" t="s">
        <v>48</v>
      </c>
      <c r="B17" s="3"/>
      <c r="C17" s="3"/>
      <c r="D17" s="3"/>
      <c r="E17" s="3"/>
      <c r="F17" s="3"/>
      <c r="G17" s="3"/>
      <c r="H17" s="3"/>
      <c r="I17" s="3"/>
      <c r="J17" s="3"/>
      <c r="K17" s="75"/>
      <c r="L17" s="76"/>
    </row>
    <row r="18" spans="1:12" ht="18" customHeigh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49"/>
      <c r="K18" s="249"/>
      <c r="L18" s="250"/>
    </row>
    <row r="19" spans="1:12" ht="39" customHeight="1" x14ac:dyDescent="0.3">
      <c r="A19" s="251"/>
      <c r="B19" s="252"/>
      <c r="C19" s="252"/>
      <c r="D19" s="252"/>
      <c r="E19" s="252"/>
      <c r="F19" s="252"/>
      <c r="G19" s="252"/>
      <c r="H19" s="252"/>
      <c r="I19" s="252"/>
      <c r="J19" s="252"/>
      <c r="K19" s="252"/>
      <c r="L19" s="253"/>
    </row>
    <row r="20" spans="1:12" ht="18" customHeight="1" x14ac:dyDescent="0.3">
      <c r="A20" s="129" t="s">
        <v>64</v>
      </c>
      <c r="B20" s="130"/>
      <c r="C20" s="91"/>
      <c r="D20" s="12"/>
      <c r="E20" s="155">
        <v>0</v>
      </c>
      <c r="F20" s="155">
        <v>0</v>
      </c>
      <c r="G20" s="155">
        <v>0</v>
      </c>
      <c r="H20" s="155">
        <v>0</v>
      </c>
      <c r="I20" s="155">
        <v>0</v>
      </c>
      <c r="J20" s="155">
        <v>0</v>
      </c>
      <c r="K20" s="131"/>
      <c r="L20" s="132"/>
    </row>
    <row r="21" spans="1:12" ht="19.5" customHeight="1" x14ac:dyDescent="0.3">
      <c r="A21" s="7" t="s">
        <v>67</v>
      </c>
    </row>
    <row r="22" spans="1:12" ht="15" customHeight="1" x14ac:dyDescent="0.3">
      <c r="G22" s="26"/>
      <c r="H22" s="109" t="s">
        <v>81</v>
      </c>
      <c r="I22" s="78"/>
      <c r="K22" s="17" t="s">
        <v>79</v>
      </c>
    </row>
    <row r="23" spans="1:12" ht="15" customHeight="1" x14ac:dyDescent="0.3">
      <c r="B23" s="110" t="s">
        <v>74</v>
      </c>
      <c r="C23" s="69"/>
      <c r="D23" s="83"/>
      <c r="E23" s="154">
        <f>LEN(A$18)-LEN(SUBSTITUTE(A$18,"D",""))+LEN(A$18)-LEN(SUBSTITUTE(A$18,"S",""))</f>
        <v>0</v>
      </c>
      <c r="F23" s="111">
        <v>0.4</v>
      </c>
      <c r="G23" s="112"/>
      <c r="H23" s="84">
        <f>IF(E23&gt;24,25,E23)</f>
        <v>0</v>
      </c>
      <c r="I23" s="113"/>
      <c r="J23" s="114"/>
      <c r="K23" s="115">
        <f>F23*H23</f>
        <v>0</v>
      </c>
      <c r="L23" s="21"/>
    </row>
    <row r="24" spans="1:12" ht="15" customHeight="1" x14ac:dyDescent="0.3">
      <c r="B24" s="110" t="s">
        <v>75</v>
      </c>
      <c r="C24" s="69"/>
      <c r="D24" s="83"/>
      <c r="E24" s="169">
        <f>LEN(A$18)-LEN(SUBSTITUTE(A$18,"M",""))</f>
        <v>0</v>
      </c>
      <c r="F24" s="111">
        <v>0.3</v>
      </c>
      <c r="G24" s="112"/>
      <c r="H24" s="84">
        <f>IF(SUM(E23:E24)&gt;24,25-H23,E24)</f>
        <v>0</v>
      </c>
      <c r="I24" s="113"/>
      <c r="J24" s="114"/>
      <c r="K24" s="115">
        <f>F24*H24</f>
        <v>0</v>
      </c>
      <c r="L24" s="21"/>
    </row>
    <row r="25" spans="1:12" ht="15" customHeight="1" x14ac:dyDescent="0.3">
      <c r="B25" s="110" t="s">
        <v>76</v>
      </c>
      <c r="C25" s="69"/>
      <c r="D25" s="83"/>
      <c r="E25" s="154">
        <f>LEN(A$18)-LEN(SUBSTITUTE(A$18,"E",""))+LEN(A$18)-LEN(SUBSTITUTE(A$18,"L",""))</f>
        <v>0</v>
      </c>
      <c r="F25" s="111">
        <v>0.1</v>
      </c>
      <c r="G25" s="112"/>
      <c r="H25" s="84">
        <f>IF(SUM(E23:E25)&gt;24,IF(25-SUM(H23:H24)&gt;0,25-SUM(H23:H24),0),E25)</f>
        <v>0</v>
      </c>
      <c r="I25" s="113"/>
      <c r="J25" s="114"/>
      <c r="K25" s="115">
        <f>F25*H25</f>
        <v>0</v>
      </c>
      <c r="L25" s="21"/>
    </row>
    <row r="26" spans="1:12" ht="14" thickBot="1" x14ac:dyDescent="0.35">
      <c r="B26" s="69" t="s">
        <v>77</v>
      </c>
      <c r="C26" s="70"/>
      <c r="D26" s="70"/>
      <c r="E26" s="84">
        <f>SUM(E23:E25)</f>
        <v>0</v>
      </c>
      <c r="F26" s="114"/>
      <c r="G26" s="114"/>
      <c r="H26" s="114"/>
      <c r="I26" s="114"/>
      <c r="J26" s="114"/>
      <c r="K26" s="114"/>
      <c r="L26" s="21"/>
    </row>
    <row r="27" spans="1:12" ht="21" customHeight="1" thickBot="1" x14ac:dyDescent="0.35">
      <c r="B27" s="21"/>
      <c r="C27" s="21"/>
      <c r="D27" s="21"/>
      <c r="E27" s="114"/>
      <c r="F27" s="114"/>
      <c r="G27" s="116" t="s">
        <v>80</v>
      </c>
      <c r="H27" s="117"/>
      <c r="I27" s="117"/>
      <c r="J27" s="118"/>
      <c r="K27" s="96">
        <f>IF(SUM(K23:K26)&gt;10,10,SUM(K23:K26))</f>
        <v>0</v>
      </c>
      <c r="L27" s="97">
        <v>0.3</v>
      </c>
    </row>
    <row r="28" spans="1:12" ht="21" customHeight="1" x14ac:dyDescent="0.3">
      <c r="B28" s="21"/>
      <c r="C28" s="21"/>
      <c r="D28" s="21"/>
      <c r="E28" s="114"/>
      <c r="F28" s="114"/>
      <c r="G28" s="119"/>
      <c r="H28" s="114"/>
      <c r="I28" s="114"/>
      <c r="J28" s="120"/>
      <c r="K28" s="121"/>
      <c r="L28" s="97"/>
    </row>
    <row r="29" spans="1:12" ht="19.5" customHeight="1" x14ac:dyDescent="0.3">
      <c r="A29" s="4" t="s">
        <v>68</v>
      </c>
    </row>
    <row r="30" spans="1:12" ht="8.25" customHeight="1" x14ac:dyDescent="0.3">
      <c r="B30" s="21"/>
      <c r="C30" s="21"/>
      <c r="D30" s="21"/>
      <c r="E30" s="21"/>
      <c r="F30" s="21"/>
      <c r="G30" s="21"/>
      <c r="H30" s="80"/>
      <c r="I30" s="78"/>
      <c r="J30" s="81"/>
      <c r="K30" s="82"/>
    </row>
    <row r="31" spans="1:12" ht="15" customHeight="1" x14ac:dyDescent="0.3">
      <c r="B31" s="69" t="s">
        <v>70</v>
      </c>
      <c r="C31" s="70"/>
      <c r="D31" s="83"/>
      <c r="E31" s="154">
        <f xml:space="preserve"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f>
        <v>0</v>
      </c>
      <c r="F31" s="69" t="s">
        <v>73</v>
      </c>
      <c r="G31" s="83"/>
      <c r="H31" s="85">
        <f>E26</f>
        <v>0</v>
      </c>
      <c r="I31" s="86">
        <f>IFERROR(E31/H31,10)</f>
        <v>10</v>
      </c>
      <c r="J31" s="81"/>
      <c r="K31" s="87">
        <f>10-I31</f>
        <v>0</v>
      </c>
    </row>
    <row r="32" spans="1:12" ht="8.25" customHeight="1" x14ac:dyDescent="0.3">
      <c r="B32" s="21"/>
      <c r="C32" s="21"/>
      <c r="D32" s="21"/>
      <c r="E32" s="21"/>
      <c r="F32" s="21"/>
      <c r="G32" s="21"/>
      <c r="H32" s="80"/>
      <c r="I32" s="78"/>
      <c r="J32" s="81"/>
      <c r="K32" s="82"/>
    </row>
    <row r="33" spans="1:12" x14ac:dyDescent="0.3">
      <c r="I33" s="88"/>
      <c r="J33" s="89"/>
      <c r="K33" s="90"/>
    </row>
    <row r="34" spans="1:12" ht="15" customHeight="1" x14ac:dyDescent="0.3">
      <c r="E34" s="91" t="s">
        <v>64</v>
      </c>
      <c r="F34" s="12"/>
      <c r="G34" s="12"/>
      <c r="H34" s="12"/>
      <c r="I34" s="92"/>
      <c r="J34" s="93"/>
      <c r="K34" s="170">
        <f>SUM(E20:J20)</f>
        <v>0</v>
      </c>
    </row>
    <row r="35" spans="1:12" ht="7.5" customHeight="1" thickBot="1" x14ac:dyDescent="0.35">
      <c r="K35" s="90"/>
      <c r="L35" s="79"/>
    </row>
    <row r="36" spans="1:12" ht="20.25" customHeight="1" thickBot="1" x14ac:dyDescent="0.35">
      <c r="G36" s="94" t="s">
        <v>71</v>
      </c>
      <c r="H36" s="10"/>
      <c r="I36" s="10"/>
      <c r="J36" s="95"/>
      <c r="K36" s="96">
        <f>K31-K34</f>
        <v>0</v>
      </c>
      <c r="L36" s="97">
        <v>0.7</v>
      </c>
    </row>
    <row r="37" spans="1:12" ht="11.25" customHeight="1" thickBot="1" x14ac:dyDescent="0.35"/>
    <row r="38" spans="1:12" ht="20.25" customHeight="1" thickBot="1" x14ac:dyDescent="0.35">
      <c r="I38" s="71" t="s">
        <v>72</v>
      </c>
      <c r="J38" s="98"/>
      <c r="K38" s="98"/>
      <c r="L38" s="99">
        <f>ROUND(K27*0.3 + K36*0.7,3)</f>
        <v>0</v>
      </c>
    </row>
    <row r="45" spans="1:12" x14ac:dyDescent="0.3">
      <c r="A45" s="2" t="s">
        <v>31</v>
      </c>
      <c r="B45" s="40"/>
      <c r="C45" s="40"/>
      <c r="D45" s="40"/>
      <c r="E45" s="40"/>
      <c r="H45" s="2" t="s">
        <v>32</v>
      </c>
      <c r="I45" s="2"/>
      <c r="J45" s="2"/>
      <c r="K45" s="2"/>
      <c r="L45" s="2"/>
    </row>
  </sheetData>
  <mergeCells count="15">
    <mergeCell ref="A18:L19"/>
    <mergeCell ref="I15:L15"/>
    <mergeCell ref="C5:F5"/>
    <mergeCell ref="I7:L7"/>
    <mergeCell ref="C8:F8"/>
    <mergeCell ref="I8:L8"/>
    <mergeCell ref="C9:F9"/>
    <mergeCell ref="I9:L9"/>
    <mergeCell ref="C10:F10"/>
    <mergeCell ref="I10:L10"/>
    <mergeCell ref="I11:L11"/>
    <mergeCell ref="C6:F6"/>
    <mergeCell ref="I14:L14"/>
    <mergeCell ref="I13:L13"/>
    <mergeCell ref="I12:L12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>&amp;R&amp;8 2024-01-28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9"/>
  <sheetViews>
    <sheetView showZeros="0" view="pageLayout" topLeftCell="A4" zoomScale="110" zoomScaleNormal="120" zoomScalePageLayoutView="110" workbookViewId="0">
      <selection activeCell="K17" sqref="K17"/>
    </sheetView>
  </sheetViews>
  <sheetFormatPr defaultColWidth="9.08984375" defaultRowHeight="13.5" x14ac:dyDescent="0.3"/>
  <cols>
    <col min="1" max="1" width="7.81640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9" width="7.26953125" style="1" customWidth="1"/>
    <col min="10" max="10" width="4.72656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2.5" customHeight="1" thickBot="1" x14ac:dyDescent="0.35">
      <c r="A2" s="7" t="s">
        <v>113</v>
      </c>
      <c r="H2" s="9"/>
      <c r="I2" s="13" t="s">
        <v>88</v>
      </c>
      <c r="J2" s="10"/>
      <c r="K2" s="11"/>
      <c r="L2" s="11"/>
    </row>
    <row r="3" spans="1:12" ht="24" customHeight="1" thickBot="1" x14ac:dyDescent="0.35">
      <c r="A3" s="4" t="s">
        <v>66</v>
      </c>
      <c r="H3" s="9"/>
      <c r="I3" s="13" t="s">
        <v>89</v>
      </c>
      <c r="J3" s="10"/>
      <c r="K3" s="11"/>
      <c r="L3" s="11"/>
    </row>
    <row r="4" spans="1:12" ht="24" customHeight="1" thickBot="1" x14ac:dyDescent="0.35">
      <c r="A4" s="2" t="s">
        <v>13</v>
      </c>
      <c r="B4" s="2"/>
      <c r="C4" s="150"/>
      <c r="D4" s="8"/>
      <c r="E4" s="8"/>
      <c r="F4" s="8"/>
      <c r="H4" s="9"/>
      <c r="I4" s="13" t="s">
        <v>82</v>
      </c>
      <c r="J4" s="10"/>
      <c r="K4" s="11"/>
      <c r="L4" s="161"/>
    </row>
    <row r="5" spans="1:12" ht="24" customHeight="1" thickBot="1" x14ac:dyDescent="0.35">
      <c r="A5" s="12" t="s">
        <v>14</v>
      </c>
      <c r="B5" s="12"/>
      <c r="C5" s="174"/>
      <c r="D5" s="174"/>
      <c r="E5" s="174"/>
      <c r="F5" s="174"/>
      <c r="H5" s="9"/>
      <c r="I5" s="13" t="s">
        <v>12</v>
      </c>
      <c r="J5" s="128"/>
      <c r="K5" s="11"/>
      <c r="L5" s="11"/>
    </row>
    <row r="6" spans="1:12" ht="19.5" customHeight="1" x14ac:dyDescent="0.3">
      <c r="A6" s="12" t="s">
        <v>15</v>
      </c>
      <c r="B6" s="12"/>
      <c r="C6" s="174"/>
      <c r="D6" s="174"/>
      <c r="E6" s="174"/>
      <c r="F6" s="174"/>
      <c r="H6" s="1" t="s">
        <v>17</v>
      </c>
    </row>
    <row r="7" spans="1:12" ht="17.149999999999999" customHeight="1" x14ac:dyDescent="0.3">
      <c r="A7" s="12" t="s">
        <v>87</v>
      </c>
      <c r="B7" s="12"/>
      <c r="C7" s="92"/>
      <c r="D7" s="92"/>
      <c r="E7" s="92"/>
      <c r="F7" s="92"/>
      <c r="H7" s="2" t="s">
        <v>0</v>
      </c>
      <c r="I7" s="177"/>
      <c r="J7" s="178"/>
      <c r="K7" s="178"/>
      <c r="L7" s="179"/>
    </row>
    <row r="8" spans="1:12" ht="17.149999999999999" customHeight="1" x14ac:dyDescent="0.3">
      <c r="A8" s="2" t="s">
        <v>6</v>
      </c>
      <c r="B8" s="2"/>
      <c r="C8" s="177"/>
      <c r="D8" s="177"/>
      <c r="E8" s="177"/>
      <c r="F8" s="177"/>
      <c r="H8" s="12" t="s">
        <v>1</v>
      </c>
      <c r="I8" s="174"/>
      <c r="J8" s="175"/>
      <c r="K8" s="175"/>
      <c r="L8" s="176"/>
    </row>
    <row r="9" spans="1:12" ht="17.149999999999999" customHeight="1" x14ac:dyDescent="0.3">
      <c r="A9" s="12" t="s">
        <v>16</v>
      </c>
      <c r="B9" s="12"/>
      <c r="C9" s="174"/>
      <c r="D9" s="174"/>
      <c r="E9" s="174"/>
      <c r="F9" s="174"/>
      <c r="H9" s="12" t="s">
        <v>2</v>
      </c>
      <c r="I9" s="174"/>
      <c r="J9" s="175"/>
      <c r="K9" s="175"/>
      <c r="L9" s="176"/>
    </row>
    <row r="10" spans="1:12" ht="17.149999999999999" customHeight="1" x14ac:dyDescent="0.3">
      <c r="A10" s="12" t="s">
        <v>85</v>
      </c>
      <c r="B10" s="12"/>
      <c r="C10" s="174"/>
      <c r="D10" s="174"/>
      <c r="E10" s="174"/>
      <c r="F10" s="174"/>
      <c r="H10" s="12" t="s">
        <v>3</v>
      </c>
      <c r="I10" s="174"/>
      <c r="J10" s="175"/>
      <c r="K10" s="175"/>
      <c r="L10" s="176"/>
    </row>
    <row r="11" spans="1:12" ht="17.149999999999999" customHeight="1" x14ac:dyDescent="0.3">
      <c r="H11" s="12" t="s">
        <v>4</v>
      </c>
      <c r="I11" s="174"/>
      <c r="J11" s="175"/>
      <c r="K11" s="175"/>
      <c r="L11" s="176"/>
    </row>
    <row r="12" spans="1:12" ht="17.149999999999999" customHeight="1" x14ac:dyDescent="0.3">
      <c r="C12" s="14"/>
      <c r="H12" s="12" t="s">
        <v>5</v>
      </c>
      <c r="I12" s="174"/>
      <c r="J12" s="175"/>
      <c r="K12" s="175"/>
      <c r="L12" s="176"/>
    </row>
    <row r="13" spans="1:12" ht="17.149999999999999" customHeight="1" x14ac:dyDescent="0.3">
      <c r="C13" s="14"/>
      <c r="H13" s="12" t="s">
        <v>142</v>
      </c>
      <c r="I13" s="174"/>
      <c r="J13" s="174"/>
      <c r="K13" s="174"/>
      <c r="L13" s="174"/>
    </row>
    <row r="14" spans="1:12" ht="17.149999999999999" customHeight="1" x14ac:dyDescent="0.3">
      <c r="C14" s="14"/>
      <c r="H14" s="12" t="s">
        <v>143</v>
      </c>
      <c r="I14" s="174"/>
      <c r="J14" s="174"/>
      <c r="K14" s="174"/>
      <c r="L14" s="174"/>
    </row>
    <row r="15" spans="1:12" ht="17.149999999999999" customHeight="1" x14ac:dyDescent="0.3">
      <c r="C15" s="14"/>
      <c r="H15" s="12" t="s">
        <v>144</v>
      </c>
      <c r="I15" s="174"/>
      <c r="J15" s="174"/>
      <c r="K15" s="174"/>
      <c r="L15" s="174"/>
    </row>
    <row r="16" spans="1:12" ht="24.75" customHeight="1" thickBot="1" x14ac:dyDescent="0.35">
      <c r="K16" s="164" t="s">
        <v>83</v>
      </c>
    </row>
    <row r="17" spans="1:13" ht="54.75" customHeight="1" thickBot="1" x14ac:dyDescent="0.35">
      <c r="A17" s="171" t="s">
        <v>151</v>
      </c>
      <c r="B17" s="190" t="s">
        <v>152</v>
      </c>
      <c r="C17" s="191"/>
      <c r="D17" s="191"/>
      <c r="E17" s="191"/>
      <c r="F17" s="191"/>
      <c r="G17" s="191"/>
      <c r="H17" s="191"/>
      <c r="I17" s="192"/>
      <c r="J17" s="168" t="s">
        <v>153</v>
      </c>
      <c r="K17" s="172"/>
      <c r="L17" s="173">
        <f>K17*0.2</f>
        <v>0</v>
      </c>
    </row>
    <row r="18" spans="1:13" ht="60.75" customHeight="1" thickBot="1" x14ac:dyDescent="0.35">
      <c r="A18" s="180" t="s">
        <v>162</v>
      </c>
      <c r="B18" s="182" t="s">
        <v>160</v>
      </c>
      <c r="C18" s="183"/>
      <c r="D18" s="183"/>
      <c r="E18" s="183"/>
      <c r="F18" s="183"/>
      <c r="G18" s="183"/>
      <c r="H18" s="183"/>
      <c r="I18" s="183"/>
      <c r="J18" s="100" t="s">
        <v>164</v>
      </c>
      <c r="K18" s="156"/>
      <c r="L18" s="101">
        <f>K18*0.2</f>
        <v>0</v>
      </c>
      <c r="M18" s="102"/>
    </row>
    <row r="19" spans="1:13" ht="83.25" customHeight="1" thickBot="1" x14ac:dyDescent="0.35">
      <c r="A19" s="193"/>
      <c r="B19" s="182" t="s">
        <v>161</v>
      </c>
      <c r="C19" s="183"/>
      <c r="D19" s="183"/>
      <c r="E19" s="183"/>
      <c r="F19" s="183"/>
      <c r="G19" s="183"/>
      <c r="H19" s="183"/>
      <c r="I19" s="183"/>
      <c r="J19" s="103" t="s">
        <v>156</v>
      </c>
      <c r="K19" s="157"/>
      <c r="L19" s="104">
        <f>K19*0.1</f>
        <v>0</v>
      </c>
      <c r="M19" s="102"/>
    </row>
    <row r="20" spans="1:13" ht="58.15" customHeight="1" x14ac:dyDescent="0.3">
      <c r="A20" s="180" t="s">
        <v>163</v>
      </c>
      <c r="B20" s="184" t="s">
        <v>154</v>
      </c>
      <c r="C20" s="185"/>
      <c r="D20" s="185"/>
      <c r="E20" s="185"/>
      <c r="F20" s="185"/>
      <c r="G20" s="185"/>
      <c r="H20" s="185"/>
      <c r="I20" s="186"/>
      <c r="J20" s="100" t="s">
        <v>165</v>
      </c>
      <c r="K20" s="158"/>
      <c r="L20" s="105">
        <f>K20*0.25</f>
        <v>0</v>
      </c>
      <c r="M20" s="102"/>
    </row>
    <row r="21" spans="1:13" ht="72" customHeight="1" x14ac:dyDescent="0.3">
      <c r="A21" s="181"/>
      <c r="B21" s="187" t="s">
        <v>155</v>
      </c>
      <c r="C21" s="188"/>
      <c r="D21" s="188"/>
      <c r="E21" s="188"/>
      <c r="F21" s="188"/>
      <c r="G21" s="188"/>
      <c r="H21" s="188"/>
      <c r="I21" s="189"/>
      <c r="J21" s="106" t="s">
        <v>166</v>
      </c>
      <c r="K21" s="159"/>
      <c r="L21" s="107">
        <f>K21*0.25</f>
        <v>0</v>
      </c>
      <c r="M21" s="102"/>
    </row>
    <row r="22" spans="1:13" ht="18" customHeight="1" x14ac:dyDescent="0.3">
      <c r="K22" s="1" t="s">
        <v>30</v>
      </c>
      <c r="L22" s="108">
        <f>SUM(L18:L21)</f>
        <v>0</v>
      </c>
    </row>
    <row r="23" spans="1:13" ht="7.5" customHeight="1" x14ac:dyDescent="0.3">
      <c r="L23" s="90"/>
    </row>
    <row r="24" spans="1:13" ht="18" customHeight="1" x14ac:dyDescent="0.3">
      <c r="B24" s="69" t="s">
        <v>69</v>
      </c>
      <c r="C24" s="83"/>
      <c r="D24" s="70"/>
      <c r="E24" s="70"/>
      <c r="F24" s="70"/>
      <c r="G24" s="70"/>
      <c r="H24" s="70"/>
      <c r="I24" s="70"/>
      <c r="J24" s="70"/>
      <c r="K24" s="70"/>
      <c r="L24" s="160"/>
    </row>
    <row r="25" spans="1:13" ht="13.5" customHeight="1" thickBot="1" x14ac:dyDescent="0.35">
      <c r="L25" s="90"/>
    </row>
    <row r="26" spans="1:13" ht="14" thickBot="1" x14ac:dyDescent="0.35">
      <c r="I26" s="71" t="s">
        <v>84</v>
      </c>
      <c r="J26" s="98"/>
      <c r="K26" s="98"/>
      <c r="L26" s="99">
        <f>SUM(L17:L21)-L24</f>
        <v>0</v>
      </c>
    </row>
    <row r="29" spans="1:13" x14ac:dyDescent="0.3">
      <c r="A29" s="2" t="s">
        <v>31</v>
      </c>
      <c r="B29" s="40"/>
      <c r="C29" s="40"/>
      <c r="D29" s="40"/>
      <c r="E29" s="40"/>
      <c r="H29" s="2" t="s">
        <v>32</v>
      </c>
      <c r="I29" s="2"/>
      <c r="J29" s="2"/>
      <c r="K29" s="2"/>
      <c r="L29" s="2"/>
    </row>
  </sheetData>
  <mergeCells count="21">
    <mergeCell ref="B17:I17"/>
    <mergeCell ref="I13:L13"/>
    <mergeCell ref="I14:L14"/>
    <mergeCell ref="I15:L15"/>
    <mergeCell ref="A18:A19"/>
    <mergeCell ref="A20:A21"/>
    <mergeCell ref="B18:I18"/>
    <mergeCell ref="B19:I19"/>
    <mergeCell ref="B20:I20"/>
    <mergeCell ref="B21:I21"/>
    <mergeCell ref="I12:L12"/>
    <mergeCell ref="C5:F5"/>
    <mergeCell ref="I7:L7"/>
    <mergeCell ref="C8:F8"/>
    <mergeCell ref="I8:L8"/>
    <mergeCell ref="C9:F9"/>
    <mergeCell ref="I9:L9"/>
    <mergeCell ref="C10:F10"/>
    <mergeCell ref="I10:L10"/>
    <mergeCell ref="I11:L11"/>
    <mergeCell ref="C6:F6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>&amp;R&amp;8 2025-03-16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9E7A-CDBD-4D3F-84FF-A794049A59B1}">
  <sheetPr>
    <pageSetUpPr fitToPage="1"/>
  </sheetPr>
  <dimension ref="A1:M29"/>
  <sheetViews>
    <sheetView showZeros="0" view="pageLayout" topLeftCell="A11" zoomScale="110" zoomScaleNormal="120" zoomScalePageLayoutView="110" workbookViewId="0">
      <selection activeCell="K17" sqref="K17"/>
    </sheetView>
  </sheetViews>
  <sheetFormatPr defaultColWidth="9.08984375" defaultRowHeight="13.5" x14ac:dyDescent="0.3"/>
  <cols>
    <col min="1" max="1" width="7.81640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9" width="7.26953125" style="1" customWidth="1"/>
    <col min="10" max="10" width="4.72656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2.5" customHeight="1" thickBot="1" x14ac:dyDescent="0.35">
      <c r="A2" s="7" t="s">
        <v>113</v>
      </c>
      <c r="H2" s="9"/>
      <c r="I2" s="13" t="s">
        <v>88</v>
      </c>
      <c r="J2" s="10"/>
      <c r="K2" s="11"/>
      <c r="L2" s="11"/>
    </row>
    <row r="3" spans="1:12" ht="24" customHeight="1" thickBot="1" x14ac:dyDescent="0.35">
      <c r="A3" s="4" t="s">
        <v>66</v>
      </c>
      <c r="H3" s="9"/>
      <c r="I3" s="13" t="s">
        <v>89</v>
      </c>
      <c r="J3" s="10"/>
      <c r="K3" s="11"/>
      <c r="L3" s="11"/>
    </row>
    <row r="4" spans="1:12" ht="24" customHeight="1" thickBot="1" x14ac:dyDescent="0.35">
      <c r="A4" s="2" t="s">
        <v>13</v>
      </c>
      <c r="B4" s="2"/>
      <c r="C4" s="150"/>
      <c r="D4" s="8"/>
      <c r="E4" s="8"/>
      <c r="F4" s="8"/>
      <c r="H4" s="9"/>
      <c r="I4" s="13" t="s">
        <v>82</v>
      </c>
      <c r="J4" s="10"/>
      <c r="K4" s="11"/>
      <c r="L4" s="161"/>
    </row>
    <row r="5" spans="1:12" ht="24" customHeight="1" thickBot="1" x14ac:dyDescent="0.35">
      <c r="A5" s="12" t="s">
        <v>14</v>
      </c>
      <c r="B5" s="12"/>
      <c r="C5" s="174"/>
      <c r="D5" s="174"/>
      <c r="E5" s="174"/>
      <c r="F5" s="174"/>
      <c r="H5" s="9"/>
      <c r="I5" s="13" t="s">
        <v>12</v>
      </c>
      <c r="J5" s="128"/>
      <c r="K5" s="11"/>
      <c r="L5" s="11"/>
    </row>
    <row r="6" spans="1:12" ht="19.5" customHeight="1" x14ac:dyDescent="0.3">
      <c r="A6" s="12" t="s">
        <v>15</v>
      </c>
      <c r="B6" s="12"/>
      <c r="C6" s="174"/>
      <c r="D6" s="174"/>
      <c r="E6" s="174"/>
      <c r="F6" s="174"/>
      <c r="H6" s="1" t="s">
        <v>17</v>
      </c>
    </row>
    <row r="7" spans="1:12" ht="17.149999999999999" customHeight="1" x14ac:dyDescent="0.3">
      <c r="A7" s="12" t="s">
        <v>87</v>
      </c>
      <c r="B7" s="12"/>
      <c r="C7" s="92"/>
      <c r="D7" s="92"/>
      <c r="E7" s="92"/>
      <c r="F7" s="92"/>
      <c r="H7" s="2" t="s">
        <v>0</v>
      </c>
      <c r="I7" s="177"/>
      <c r="J7" s="178"/>
      <c r="K7" s="178"/>
      <c r="L7" s="179"/>
    </row>
    <row r="8" spans="1:12" ht="17.149999999999999" customHeight="1" x14ac:dyDescent="0.3">
      <c r="A8" s="2" t="s">
        <v>6</v>
      </c>
      <c r="B8" s="2"/>
      <c r="C8" s="177"/>
      <c r="D8" s="177"/>
      <c r="E8" s="177"/>
      <c r="F8" s="177"/>
      <c r="H8" s="12" t="s">
        <v>1</v>
      </c>
      <c r="I8" s="174"/>
      <c r="J8" s="175"/>
      <c r="K8" s="175"/>
      <c r="L8" s="176"/>
    </row>
    <row r="9" spans="1:12" ht="17.149999999999999" customHeight="1" x14ac:dyDescent="0.3">
      <c r="A9" s="12" t="s">
        <v>16</v>
      </c>
      <c r="B9" s="12"/>
      <c r="C9" s="174"/>
      <c r="D9" s="174"/>
      <c r="E9" s="174"/>
      <c r="F9" s="174"/>
      <c r="H9" s="12" t="s">
        <v>2</v>
      </c>
      <c r="I9" s="174"/>
      <c r="J9" s="175"/>
      <c r="K9" s="175"/>
      <c r="L9" s="176"/>
    </row>
    <row r="10" spans="1:12" ht="17.149999999999999" customHeight="1" x14ac:dyDescent="0.3">
      <c r="A10" s="12" t="s">
        <v>85</v>
      </c>
      <c r="B10" s="12"/>
      <c r="C10" s="174"/>
      <c r="D10" s="174"/>
      <c r="E10" s="174"/>
      <c r="F10" s="174"/>
      <c r="H10" s="12" t="s">
        <v>3</v>
      </c>
      <c r="I10" s="174"/>
      <c r="J10" s="175"/>
      <c r="K10" s="175"/>
      <c r="L10" s="176"/>
    </row>
    <row r="11" spans="1:12" ht="17.149999999999999" customHeight="1" x14ac:dyDescent="0.3">
      <c r="H11" s="12" t="s">
        <v>4</v>
      </c>
      <c r="I11" s="174"/>
      <c r="J11" s="175"/>
      <c r="K11" s="175"/>
      <c r="L11" s="176"/>
    </row>
    <row r="12" spans="1:12" ht="17.149999999999999" customHeight="1" x14ac:dyDescent="0.3">
      <c r="C12" s="14"/>
      <c r="H12" s="12" t="s">
        <v>5</v>
      </c>
      <c r="I12" s="174"/>
      <c r="J12" s="175"/>
      <c r="K12" s="175"/>
      <c r="L12" s="176"/>
    </row>
    <row r="13" spans="1:12" ht="17.149999999999999" customHeight="1" x14ac:dyDescent="0.3">
      <c r="C13" s="14"/>
      <c r="H13" s="12" t="s">
        <v>142</v>
      </c>
      <c r="I13" s="174"/>
      <c r="J13" s="174"/>
      <c r="K13" s="174"/>
      <c r="L13" s="174"/>
    </row>
    <row r="14" spans="1:12" ht="17.149999999999999" customHeight="1" x14ac:dyDescent="0.3">
      <c r="C14" s="14"/>
      <c r="H14" s="12" t="s">
        <v>143</v>
      </c>
      <c r="I14" s="174"/>
      <c r="J14" s="174"/>
      <c r="K14" s="174"/>
      <c r="L14" s="174"/>
    </row>
    <row r="15" spans="1:12" ht="17.149999999999999" customHeight="1" x14ac:dyDescent="0.3">
      <c r="C15" s="14"/>
      <c r="H15" s="12" t="s">
        <v>144</v>
      </c>
      <c r="I15" s="174"/>
      <c r="J15" s="174"/>
      <c r="K15" s="174"/>
      <c r="L15" s="174"/>
    </row>
    <row r="16" spans="1:12" ht="24.75" customHeight="1" thickBot="1" x14ac:dyDescent="0.35">
      <c r="K16" s="164" t="s">
        <v>83</v>
      </c>
    </row>
    <row r="17" spans="1:13" ht="54.75" customHeight="1" thickBot="1" x14ac:dyDescent="0.35">
      <c r="A17" s="171" t="s">
        <v>151</v>
      </c>
      <c r="B17" s="190" t="s">
        <v>152</v>
      </c>
      <c r="C17" s="191"/>
      <c r="D17" s="191"/>
      <c r="E17" s="191"/>
      <c r="F17" s="191"/>
      <c r="G17" s="191"/>
      <c r="H17" s="191"/>
      <c r="I17" s="192"/>
      <c r="J17" s="168" t="s">
        <v>153</v>
      </c>
      <c r="K17" s="172"/>
      <c r="L17" s="173">
        <f>K17*0.2</f>
        <v>0</v>
      </c>
    </row>
    <row r="18" spans="1:13" ht="60.75" customHeight="1" thickBot="1" x14ac:dyDescent="0.35">
      <c r="A18" s="180" t="s">
        <v>162</v>
      </c>
      <c r="B18" s="182" t="s">
        <v>160</v>
      </c>
      <c r="C18" s="183"/>
      <c r="D18" s="183"/>
      <c r="E18" s="183"/>
      <c r="F18" s="183"/>
      <c r="G18" s="183"/>
      <c r="H18" s="183"/>
      <c r="I18" s="183"/>
      <c r="J18" s="100" t="s">
        <v>157</v>
      </c>
      <c r="K18" s="156"/>
      <c r="L18" s="101">
        <f>K18*0.1</f>
        <v>0</v>
      </c>
      <c r="M18" s="102"/>
    </row>
    <row r="19" spans="1:13" ht="83.25" customHeight="1" thickBot="1" x14ac:dyDescent="0.35">
      <c r="A19" s="193"/>
      <c r="B19" s="182" t="s">
        <v>161</v>
      </c>
      <c r="C19" s="183"/>
      <c r="D19" s="183"/>
      <c r="E19" s="183"/>
      <c r="F19" s="183"/>
      <c r="G19" s="183"/>
      <c r="H19" s="183"/>
      <c r="I19" s="183"/>
      <c r="J19" s="103" t="s">
        <v>156</v>
      </c>
      <c r="K19" s="157"/>
      <c r="L19" s="104">
        <f>K19*0.1</f>
        <v>0</v>
      </c>
      <c r="M19" s="102"/>
    </row>
    <row r="20" spans="1:13" ht="58.15" customHeight="1" x14ac:dyDescent="0.3">
      <c r="A20" s="180" t="s">
        <v>163</v>
      </c>
      <c r="B20" s="184" t="s">
        <v>154</v>
      </c>
      <c r="C20" s="185"/>
      <c r="D20" s="185"/>
      <c r="E20" s="185"/>
      <c r="F20" s="185"/>
      <c r="G20" s="185"/>
      <c r="H20" s="185"/>
      <c r="I20" s="186"/>
      <c r="J20" s="100" t="s">
        <v>158</v>
      </c>
      <c r="K20" s="158"/>
      <c r="L20" s="105">
        <f>K20*0.3</f>
        <v>0</v>
      </c>
      <c r="M20" s="102"/>
    </row>
    <row r="21" spans="1:13" ht="72" customHeight="1" x14ac:dyDescent="0.3">
      <c r="A21" s="181"/>
      <c r="B21" s="187" t="s">
        <v>155</v>
      </c>
      <c r="C21" s="188"/>
      <c r="D21" s="188"/>
      <c r="E21" s="188"/>
      <c r="F21" s="188"/>
      <c r="G21" s="188"/>
      <c r="H21" s="188"/>
      <c r="I21" s="189"/>
      <c r="J21" s="106" t="s">
        <v>159</v>
      </c>
      <c r="K21" s="159"/>
      <c r="L21" s="107">
        <f>K21*0.3</f>
        <v>0</v>
      </c>
      <c r="M21" s="102"/>
    </row>
    <row r="22" spans="1:13" ht="18" customHeight="1" x14ac:dyDescent="0.3">
      <c r="K22" s="1" t="s">
        <v>30</v>
      </c>
      <c r="L22" s="108">
        <f>SUM(L18:L21)</f>
        <v>0</v>
      </c>
    </row>
    <row r="23" spans="1:13" ht="7.5" customHeight="1" x14ac:dyDescent="0.3">
      <c r="L23" s="90"/>
    </row>
    <row r="24" spans="1:13" ht="18" customHeight="1" x14ac:dyDescent="0.3">
      <c r="B24" s="69" t="s">
        <v>69</v>
      </c>
      <c r="C24" s="83"/>
      <c r="D24" s="70"/>
      <c r="E24" s="70"/>
      <c r="F24" s="70"/>
      <c r="G24" s="70"/>
      <c r="H24" s="70"/>
      <c r="I24" s="70"/>
      <c r="J24" s="70"/>
      <c r="K24" s="70"/>
      <c r="L24" s="160"/>
    </row>
    <row r="25" spans="1:13" ht="13.5" customHeight="1" thickBot="1" x14ac:dyDescent="0.35">
      <c r="L25" s="90"/>
    </row>
    <row r="26" spans="1:13" ht="14" thickBot="1" x14ac:dyDescent="0.35">
      <c r="I26" s="71" t="s">
        <v>84</v>
      </c>
      <c r="J26" s="98"/>
      <c r="K26" s="98"/>
      <c r="L26" s="99">
        <f>SUM(L17:L21)-L24</f>
        <v>0</v>
      </c>
    </row>
    <row r="29" spans="1:13" x14ac:dyDescent="0.3">
      <c r="A29" s="2" t="s">
        <v>31</v>
      </c>
      <c r="B29" s="40"/>
      <c r="C29" s="40"/>
      <c r="D29" s="40"/>
      <c r="E29" s="40"/>
      <c r="H29" s="2" t="s">
        <v>32</v>
      </c>
      <c r="I29" s="2"/>
      <c r="J29" s="2"/>
      <c r="K29" s="2"/>
      <c r="L29" s="2"/>
    </row>
  </sheetData>
  <mergeCells count="21">
    <mergeCell ref="C9:F9"/>
    <mergeCell ref="I9:L9"/>
    <mergeCell ref="C5:F5"/>
    <mergeCell ref="C6:F6"/>
    <mergeCell ref="I7:L7"/>
    <mergeCell ref="C8:F8"/>
    <mergeCell ref="I8:L8"/>
    <mergeCell ref="A20:A21"/>
    <mergeCell ref="B20:I20"/>
    <mergeCell ref="B21:I21"/>
    <mergeCell ref="C10:F10"/>
    <mergeCell ref="I10:L10"/>
    <mergeCell ref="I11:L11"/>
    <mergeCell ref="I12:L12"/>
    <mergeCell ref="I13:L13"/>
    <mergeCell ref="I14:L14"/>
    <mergeCell ref="I15:L15"/>
    <mergeCell ref="B17:I17"/>
    <mergeCell ref="A18:A19"/>
    <mergeCell ref="B18:I18"/>
    <mergeCell ref="B19:I19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>&amp;R&amp;8 2025-03-16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10</vt:i4>
      </vt:variant>
      <vt:variant>
        <vt:lpstr>Namngivna områden</vt:lpstr>
      </vt:variant>
      <vt:variant>
        <vt:i4>72</vt:i4>
      </vt:variant>
    </vt:vector>
  </HeadingPairs>
  <TitlesOfParts>
    <vt:vector size="82" baseType="lpstr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'Häst_old, lag'!bord</vt:lpstr>
      <vt:lpstr>'Lag grund A'!bord</vt:lpstr>
      <vt:lpstr>'Lag grund B'!bord</vt:lpstr>
      <vt:lpstr>'Lag grund D'!bord</vt:lpstr>
      <vt:lpstr>'Lag kür art'!bord</vt:lpstr>
      <vt:lpstr>'Lag kür art senior'!bord</vt:lpstr>
      <vt:lpstr>'Lag kür tekn junior'!bord</vt:lpstr>
      <vt:lpstr>'Lag kür tekn mellan'!bord</vt:lpstr>
      <vt:lpstr>'Lag kür tekn sr'!bord</vt:lpstr>
      <vt:lpstr>'Häst_old, lag'!datum</vt:lpstr>
      <vt:lpstr>'Lag grund A'!datum</vt:lpstr>
      <vt:lpstr>'Lag grund B'!datum</vt:lpstr>
      <vt:lpstr>'Lag grund D'!datum</vt:lpstr>
      <vt:lpstr>'Lag kür art'!datum</vt:lpstr>
      <vt:lpstr>'Lag kür art senior'!datum</vt:lpstr>
      <vt:lpstr>'Lag kür tekn junior'!datum</vt:lpstr>
      <vt:lpstr>'Lag kür tekn mellan'!datum</vt:lpstr>
      <vt:lpstr>'Lag kür tekn sr'!datum</vt:lpstr>
      <vt:lpstr>'Häst_old, lag'!domare</vt:lpstr>
      <vt:lpstr>'Lag grund A'!domare</vt:lpstr>
      <vt:lpstr>'Lag grund B'!domare</vt:lpstr>
      <vt:lpstr>'Lag grund D'!domare</vt:lpstr>
      <vt:lpstr>'Lag kür art'!domare</vt:lpstr>
      <vt:lpstr>'Lag kür art senior'!domare</vt:lpstr>
      <vt:lpstr>'Lag kür tekn junior'!domare</vt:lpstr>
      <vt:lpstr>'Lag kür tekn mellan'!domare</vt:lpstr>
      <vt:lpstr>'Lag kür tekn sr'!domare</vt:lpstr>
      <vt:lpstr>'Häst_old, lag'!firstvaulter</vt:lpstr>
      <vt:lpstr>'Lag grund A'!firstvaulter</vt:lpstr>
      <vt:lpstr>'Lag grund B'!firstvaulter</vt:lpstr>
      <vt:lpstr>'Lag grund D'!firstvaulter</vt:lpstr>
      <vt:lpstr>'Lag kür art'!firstvaulter</vt:lpstr>
      <vt:lpstr>'Lag kür art senior'!firstvaulter</vt:lpstr>
      <vt:lpstr>'Lag kür tekn junior'!firstvaulter</vt:lpstr>
      <vt:lpstr>'Lag kür tekn mellan'!firstvaulter</vt:lpstr>
      <vt:lpstr>'Lag kür tekn sr'!firstvaulter</vt:lpstr>
      <vt:lpstr>'Häst_old, lag'!id</vt:lpstr>
      <vt:lpstr>'Lag grund A'!id</vt:lpstr>
      <vt:lpstr>'Lag grund B'!id</vt:lpstr>
      <vt:lpstr>'Lag grund D'!id</vt:lpstr>
      <vt:lpstr>'Lag kür art'!id</vt:lpstr>
      <vt:lpstr>'Lag kür art senior'!id</vt:lpstr>
      <vt:lpstr>'Lag kür tekn junior'!id</vt:lpstr>
      <vt:lpstr>'Lag kür tekn mellan'!id</vt:lpstr>
      <vt:lpstr>'Lag kür tekn sr'!id</vt:lpstr>
      <vt:lpstr>'Häst_old, lag'!klass</vt:lpstr>
      <vt:lpstr>'Lag grund A'!klass</vt:lpstr>
      <vt:lpstr>'Lag grund B'!klass</vt:lpstr>
      <vt:lpstr>'Lag grund D'!klass</vt:lpstr>
      <vt:lpstr>'Lag kür art'!klass</vt:lpstr>
      <vt:lpstr>'Lag kür art senior'!klass</vt:lpstr>
      <vt:lpstr>'Lag kür tekn junior'!klass</vt:lpstr>
      <vt:lpstr>'Lag kür tekn mellan'!klass</vt:lpstr>
      <vt:lpstr>'Lag kür tekn sr'!klass</vt:lpstr>
      <vt:lpstr>'Häst_old, lag'!moment</vt:lpstr>
      <vt:lpstr>'Lag grund A'!moment</vt:lpstr>
      <vt:lpstr>'Lag grund B'!moment</vt:lpstr>
      <vt:lpstr>'Lag grund D'!moment</vt:lpstr>
      <vt:lpstr>'Lag kür art'!moment</vt:lpstr>
      <vt:lpstr>'Lag kür art senior'!moment</vt:lpstr>
      <vt:lpstr>'Lag kür tekn junior'!moment</vt:lpstr>
      <vt:lpstr>'Lag kür tekn mellan'!moment</vt:lpstr>
      <vt:lpstr>'Lag kür tekn sr'!moment</vt:lpstr>
      <vt:lpstr>'Häst_old, lag'!result</vt:lpstr>
      <vt:lpstr>'Lag grund A'!result</vt:lpstr>
      <vt:lpstr>'Lag grund B'!result</vt:lpstr>
      <vt:lpstr>'Lag grund D'!result</vt:lpstr>
      <vt:lpstr>'Lag kür art'!result</vt:lpstr>
      <vt:lpstr>'Lag kür art senior'!result</vt:lpstr>
      <vt:lpstr>'Lag kür tekn junior'!result</vt:lpstr>
      <vt:lpstr>'Lag kür tekn mellan'!result</vt:lpstr>
      <vt:lpstr>'Lag kür tekn sr'!result</vt:lpstr>
    </vt:vector>
  </TitlesOfParts>
  <Company>BEZ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Zdenka Mišurcová</dc:creator>
  <cp:lastModifiedBy>Magnus Sandberg</cp:lastModifiedBy>
  <cp:lastPrinted>2026-03-22T15:34:55Z</cp:lastPrinted>
  <dcterms:created xsi:type="dcterms:W3CDTF">2005-01-07T14:31:35Z</dcterms:created>
  <dcterms:modified xsi:type="dcterms:W3CDTF">2026-03-22T15:35:20Z</dcterms:modified>
</cp:coreProperties>
</file>